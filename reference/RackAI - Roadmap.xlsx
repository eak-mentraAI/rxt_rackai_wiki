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hidePivotFieldList="1"/>
  <mc:AlternateContent xmlns:mc="http://schemas.openxmlformats.org/markup-compatibility/2006">
    <mc:Choice Requires="x15">
      <x15ac:absPath xmlns:x15ac="http://schemas.microsoft.com/office/spreadsheetml/2010/11/ac" url="https://raxglobal.sharepoint.com/sites/RackAI/Shared Documents/General/RackAI/Planning/"/>
    </mc:Choice>
  </mc:AlternateContent>
  <xr:revisionPtr revIDLastSave="1391" documentId="11_16951E27C6F51D3D4869314647EB68D7ECF20FC8" xr6:coauthVersionLast="47" xr6:coauthVersionMax="47" xr10:uidLastSave="{C895D608-454F-D24B-B2F1-84D0A63544D9}"/>
  <bookViews>
    <workbookView xWindow="0" yWindow="660" windowWidth="30240" windowHeight="17480" activeTab="1" xr2:uid="{00000000-000D-0000-FFFF-FFFF00000000}"/>
  </bookViews>
  <sheets>
    <sheet name="Uniphore Phase 1" sheetId="1" state="hidden" r:id="rId1"/>
    <sheet name="RACKAI - 2026 Roadmap" sheetId="8" r:id="rId2"/>
    <sheet name="RackAI M2" sheetId="7" state="hidden" r:id="rId3"/>
    <sheet name="Future ideas  requirements" sheetId="5" state="hidden" r:id="rId4"/>
    <sheet name="Action Tracker" sheetId="4" state="hidden" r:id="rId5"/>
    <sheet name="Questions to Uniphore" sheetId="2" state="hidden" r:id="rId6"/>
    <sheet name="Questions to RXT" sheetId="3" state="hidden" r:id="rId7"/>
  </sheet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 i="8" l="1"/>
  <c r="I41" i="8"/>
  <c r="Q41" i="8" s="1"/>
  <c r="I42" i="8"/>
  <c r="I43" i="8"/>
  <c r="I44" i="8"/>
  <c r="I30" i="8"/>
  <c r="I48" i="8"/>
  <c r="I47" i="8"/>
  <c r="W31" i="7"/>
  <c r="I7" i="8"/>
  <c r="I8" i="8"/>
  <c r="I9" i="8"/>
  <c r="I10" i="8"/>
  <c r="I11" i="8"/>
  <c r="I12" i="8"/>
  <c r="I13" i="8"/>
  <c r="I14" i="8"/>
  <c r="I15" i="8"/>
  <c r="I16" i="8"/>
  <c r="I17" i="8"/>
  <c r="I18" i="8"/>
  <c r="I19" i="8"/>
  <c r="I20" i="8"/>
  <c r="I21" i="8"/>
  <c r="I22" i="8"/>
  <c r="I23" i="8"/>
  <c r="I24" i="8"/>
  <c r="I26" i="8"/>
  <c r="I27" i="8"/>
  <c r="I28" i="8"/>
  <c r="I29" i="8"/>
  <c r="I31" i="8"/>
  <c r="I32" i="8"/>
  <c r="AY32" i="8" s="1"/>
  <c r="I33" i="8"/>
  <c r="I34" i="8"/>
  <c r="I35" i="8"/>
  <c r="I36" i="8"/>
  <c r="I37" i="8"/>
  <c r="I38" i="8"/>
  <c r="I39" i="8"/>
  <c r="I40" i="8"/>
  <c r="I45" i="8"/>
  <c r="I46" i="8"/>
  <c r="I52" i="8"/>
  <c r="AF7" i="8"/>
  <c r="AG7" i="8"/>
  <c r="AH7" i="8"/>
  <c r="AO7" i="8"/>
  <c r="AP7" i="8"/>
  <c r="AQ7" i="8"/>
  <c r="AR7" i="8"/>
  <c r="AS7" i="8"/>
  <c r="AT7" i="8"/>
  <c r="AU7" i="8"/>
  <c r="AV7" i="8"/>
  <c r="W15" i="7"/>
  <c r="W25" i="7"/>
  <c r="W18" i="7"/>
  <c r="W17" i="7"/>
  <c r="W12" i="7"/>
  <c r="W11" i="7"/>
  <c r="W9" i="7"/>
  <c r="W8" i="7"/>
  <c r="W5" i="7"/>
  <c r="W6" i="7"/>
  <c r="W7" i="7"/>
  <c r="W4" i="7"/>
  <c r="C35" i="7"/>
  <c r="W10" i="7"/>
  <c r="W13" i="7"/>
  <c r="W16" i="7"/>
  <c r="W19" i="7"/>
  <c r="W20" i="7"/>
  <c r="W21" i="7"/>
  <c r="W22" i="7"/>
  <c r="W23" i="7"/>
  <c r="W24" i="7"/>
  <c r="W27" i="7"/>
  <c r="W28" i="7"/>
  <c r="W29" i="7"/>
  <c r="W30" i="7"/>
  <c r="N35" i="7"/>
  <c r="O35" i="7"/>
  <c r="P35" i="7"/>
  <c r="Q35" i="7"/>
  <c r="R35" i="7"/>
  <c r="S35" i="7"/>
  <c r="T35" i="7"/>
  <c r="M35" i="7"/>
  <c r="B18" i="2"/>
  <c r="B17" i="2"/>
  <c r="B16" i="2"/>
  <c r="B15" i="2"/>
  <c r="B14" i="2"/>
  <c r="B13" i="2"/>
  <c r="B12" i="2"/>
  <c r="B11" i="2"/>
  <c r="B10" i="2"/>
  <c r="B9" i="2"/>
  <c r="B8" i="2"/>
  <c r="B7" i="2"/>
  <c r="B6" i="2"/>
  <c r="B5" i="2"/>
  <c r="B4" i="2"/>
  <c r="B3" i="2"/>
  <c r="B2" i="2"/>
  <c r="AA7" i="8" l="1"/>
  <c r="AB7" i="8"/>
  <c r="AC7" i="8"/>
  <c r="AE7" i="8"/>
  <c r="AW7" i="8"/>
  <c r="AX7" i="8"/>
  <c r="AY7" i="8"/>
  <c r="AA8" i="8"/>
  <c r="R8" i="8"/>
  <c r="U8" i="8"/>
  <c r="W8" i="8"/>
  <c r="X8" i="8"/>
  <c r="Y8" i="8"/>
  <c r="Z8" i="8"/>
  <c r="P8" i="8"/>
  <c r="AB8" i="8"/>
  <c r="AC8" i="8"/>
  <c r="AD8" i="8"/>
  <c r="AF8" i="8"/>
  <c r="AG8" i="8"/>
  <c r="AH8" i="8"/>
  <c r="AI8" i="8"/>
  <c r="AJ8" i="8"/>
  <c r="AK8" i="8"/>
  <c r="AL8" i="8"/>
  <c r="AS8" i="8"/>
  <c r="AP8" i="8"/>
  <c r="AA9" i="8"/>
  <c r="AB9" i="8"/>
  <c r="V9" i="8"/>
  <c r="Y9" i="8"/>
  <c r="Z9" i="8"/>
  <c r="AS17" i="8"/>
  <c r="AT17" i="8"/>
  <c r="AH20" i="8"/>
  <c r="AF20" i="8"/>
  <c r="AE20" i="8"/>
  <c r="AB20" i="8"/>
  <c r="W20" i="8"/>
  <c r="X20" i="8"/>
  <c r="Y20" i="8"/>
  <c r="Z20" i="8"/>
  <c r="AA20" i="8"/>
  <c r="AC20" i="8"/>
  <c r="AD20" i="8"/>
  <c r="AG20" i="8"/>
  <c r="AW20" i="8"/>
  <c r="AX20" i="8"/>
  <c r="AY20" i="8"/>
  <c r="M21" i="8"/>
  <c r="N21" i="8"/>
  <c r="AO21" i="8"/>
  <c r="AP21" i="8"/>
  <c r="AF33" i="8"/>
  <c r="AG33" i="8"/>
  <c r="AH33" i="8"/>
  <c r="AU9" i="8"/>
  <c r="AW9" i="8"/>
  <c r="AV9" i="8"/>
  <c r="AC9" i="8"/>
  <c r="AD9" i="8"/>
  <c r="AE9" i="8"/>
  <c r="AF9" i="8"/>
  <c r="AG9" i="8"/>
  <c r="AH9" i="8"/>
  <c r="AI9" i="8"/>
  <c r="AJ9" i="8"/>
  <c r="AK9" i="8"/>
  <c r="AL9" i="8"/>
  <c r="AM9" i="8"/>
  <c r="AN9" i="8"/>
  <c r="AO9" i="8"/>
  <c r="AP9" i="8"/>
  <c r="AQ9" i="8"/>
  <c r="AR9" i="8"/>
  <c r="AS9" i="8"/>
  <c r="AT9" i="8"/>
  <c r="AU12" i="8"/>
  <c r="AV12" i="8"/>
  <c r="AW12" i="8"/>
  <c r="Y12" i="8"/>
  <c r="Z12" i="8"/>
  <c r="AA12" i="8"/>
  <c r="AB12" i="8"/>
  <c r="AC12" i="8"/>
  <c r="AD12" i="8"/>
  <c r="AE12" i="8"/>
  <c r="AK12" i="8"/>
  <c r="AL12" i="8"/>
  <c r="AM12" i="8"/>
  <c r="AN12" i="8"/>
  <c r="AO12" i="8"/>
  <c r="AP12" i="8"/>
  <c r="AQ12" i="8"/>
  <c r="AR12" i="8"/>
  <c r="AS12" i="8"/>
  <c r="AT12" i="8"/>
  <c r="AO14" i="8"/>
  <c r="P14" i="8"/>
  <c r="Q14" i="8"/>
  <c r="R14" i="8"/>
  <c r="S14" i="8"/>
  <c r="T14" i="8"/>
  <c r="AM14" i="8"/>
  <c r="AN14" i="8"/>
  <c r="AJ15" i="8"/>
  <c r="AK15" i="8"/>
  <c r="AI15" i="8"/>
  <c r="AH15" i="8"/>
  <c r="AG15" i="8"/>
  <c r="AF15" i="8"/>
  <c r="AE15" i="8"/>
  <c r="AD15" i="8"/>
  <c r="AC15" i="8"/>
  <c r="Z16" i="8"/>
  <c r="AA16" i="8"/>
  <c r="AB16" i="8"/>
  <c r="AC16" i="8"/>
  <c r="AD16" i="8"/>
  <c r="AF16" i="8"/>
  <c r="AE16" i="8"/>
  <c r="AG16" i="8"/>
  <c r="AH16" i="8"/>
  <c r="P16" i="8"/>
  <c r="Q16" i="8"/>
  <c r="R16" i="8"/>
  <c r="S16" i="8"/>
  <c r="T16" i="8"/>
  <c r="U16" i="8"/>
  <c r="V16" i="8"/>
  <c r="W16" i="8"/>
  <c r="X16" i="8"/>
  <c r="Y16" i="8"/>
  <c r="AQ17" i="8"/>
  <c r="AR17" i="8"/>
  <c r="AO17" i="8"/>
  <c r="AC17" i="8"/>
  <c r="Y17" i="8"/>
  <c r="W17" i="8"/>
  <c r="Z17" i="8"/>
  <c r="AX17" i="8"/>
  <c r="X17" i="8"/>
  <c r="AY17" i="8"/>
  <c r="AA17" i="8"/>
  <c r="AB17" i="8"/>
  <c r="AD17" i="8"/>
  <c r="AE17" i="8"/>
  <c r="AF17" i="8"/>
  <c r="AN17" i="8"/>
  <c r="AP17" i="8"/>
  <c r="M18" i="8"/>
  <c r="AV18" i="8"/>
  <c r="AX18" i="8"/>
  <c r="AW18" i="8"/>
  <c r="N18" i="8"/>
  <c r="O18" i="8"/>
  <c r="U18" i="8"/>
  <c r="V18" i="8"/>
  <c r="W18" i="8"/>
  <c r="X18" i="8"/>
  <c r="Y18" i="8"/>
  <c r="Z18" i="8"/>
  <c r="AA18" i="8"/>
  <c r="AB18" i="8"/>
  <c r="AC18" i="8"/>
  <c r="AD18" i="8"/>
  <c r="AE18" i="8"/>
  <c r="AF18" i="8"/>
  <c r="AR18" i="8"/>
  <c r="AS18" i="8"/>
  <c r="AT18" i="8"/>
  <c r="AU18" i="8"/>
  <c r="AY18" i="8"/>
  <c r="AI20" i="8"/>
  <c r="U20" i="8"/>
  <c r="V20" i="8"/>
  <c r="T20" i="8"/>
  <c r="AS21" i="8"/>
  <c r="AT21" i="8"/>
  <c r="AU21" i="8"/>
  <c r="AQ21" i="8"/>
  <c r="AR21" i="8"/>
  <c r="M22" i="8"/>
  <c r="AI22" i="8"/>
  <c r="AX22" i="8"/>
  <c r="AY22" i="8"/>
  <c r="N22" i="8"/>
  <c r="O22" i="8"/>
  <c r="P22" i="8"/>
  <c r="Q22" i="8"/>
  <c r="R22" i="8"/>
  <c r="S22" i="8"/>
  <c r="T22" i="8"/>
  <c r="U22" i="8"/>
  <c r="V22" i="8"/>
  <c r="AF22" i="8"/>
  <c r="AG22" i="8"/>
  <c r="AH22" i="8"/>
  <c r="Q23" i="8"/>
  <c r="R23" i="8"/>
  <c r="S23" i="8"/>
  <c r="M23" i="8"/>
  <c r="N23" i="8"/>
  <c r="O23" i="8"/>
  <c r="P23" i="8"/>
  <c r="Z24" i="8"/>
  <c r="AK24" i="8"/>
  <c r="AY24" i="8"/>
  <c r="V24" i="8"/>
  <c r="W24" i="8"/>
  <c r="X24" i="8"/>
  <c r="Y24" i="8"/>
  <c r="R26" i="8"/>
  <c r="S26" i="8"/>
  <c r="T26" i="8"/>
  <c r="M26" i="8"/>
  <c r="N26" i="8"/>
  <c r="O26" i="8"/>
  <c r="P26" i="8"/>
  <c r="Q26" i="8"/>
  <c r="AO33" i="8"/>
  <c r="AN33" i="8"/>
  <c r="AM33" i="8"/>
  <c r="AD33" i="8"/>
  <c r="AE33" i="8"/>
  <c r="AI33" i="8"/>
  <c r="AJ33" i="8"/>
  <c r="AK33" i="8"/>
  <c r="AL33" i="8"/>
  <c r="AJ35" i="8"/>
  <c r="AH35" i="8"/>
  <c r="AI35" i="8"/>
  <c r="R35" i="8"/>
  <c r="S35" i="8"/>
  <c r="T35" i="8"/>
  <c r="U35" i="8"/>
  <c r="V35" i="8"/>
  <c r="W35" i="8"/>
  <c r="X35" i="8"/>
  <c r="Y35" i="8"/>
  <c r="Z35" i="8"/>
  <c r="AA35" i="8"/>
  <c r="AB35" i="8"/>
  <c r="AC35" i="8"/>
  <c r="AD35" i="8"/>
  <c r="AE35" i="8"/>
  <c r="AF35" i="8"/>
  <c r="AG35" i="8"/>
  <c r="AJ46" i="8"/>
  <c r="N46" i="8"/>
  <c r="M46" i="8"/>
  <c r="M14" i="8"/>
  <c r="N14" i="8"/>
  <c r="O14" i="8"/>
  <c r="AG17" i="8"/>
  <c r="AH17" i="8"/>
  <c r="AR26" i="8"/>
  <c r="AQ26" i="8"/>
  <c r="AP26" i="8"/>
  <c r="AO26" i="8"/>
  <c r="AN26" i="8"/>
  <c r="AM26" i="8"/>
  <c r="AL26" i="8"/>
  <c r="AK26" i="8"/>
  <c r="AJ26" i="8"/>
  <c r="X26" i="8"/>
  <c r="W26" i="8"/>
  <c r="V26" i="8"/>
  <c r="U26" i="8"/>
  <c r="X29" i="8"/>
  <c r="U29" i="8"/>
  <c r="V29" i="8"/>
  <c r="W29" i="8"/>
  <c r="AI46" i="8"/>
  <c r="AH46" i="8"/>
  <c r="AG46" i="8"/>
  <c r="AF46" i="8"/>
  <c r="AE46" i="8"/>
  <c r="AD46" i="8"/>
  <c r="AC46" i="8"/>
  <c r="AB46" i="8"/>
  <c r="T46" i="8"/>
  <c r="S46" i="8"/>
  <c r="R46" i="8"/>
  <c r="Q46" i="8"/>
  <c r="P46" i="8"/>
  <c r="O46" i="8"/>
  <c r="W9" i="8"/>
  <c r="X9" i="8"/>
  <c r="U14" i="8"/>
  <c r="V14" i="8"/>
  <c r="AJ14" i="8"/>
  <c r="AK14" i="8"/>
  <c r="AL14" i="8"/>
  <c r="AU17" i="8"/>
  <c r="AV17" i="8"/>
  <c r="AW21" i="8"/>
  <c r="AY21" i="8"/>
  <c r="AX21" i="8"/>
  <c r="AV21" i="8"/>
  <c r="AU26" i="8"/>
  <c r="AT26" i="8"/>
  <c r="AS26" i="8"/>
  <c r="M28" i="8"/>
  <c r="AN28" i="8"/>
  <c r="AO28" i="8"/>
  <c r="AP28" i="8"/>
  <c r="AQ28" i="8"/>
  <c r="N28" i="8"/>
  <c r="O28" i="8"/>
  <c r="P28" i="8"/>
  <c r="Q28" i="8"/>
  <c r="R28" i="8"/>
  <c r="S28" i="8"/>
  <c r="T28" i="8"/>
  <c r="AK28" i="8"/>
  <c r="AL28" i="8"/>
  <c r="AM28" i="8"/>
  <c r="R29" i="8"/>
  <c r="S29" i="8"/>
  <c r="T29" i="8"/>
  <c r="AO35" i="8"/>
  <c r="AK35" i="8"/>
  <c r="AL35" i="8"/>
  <c r="AM35" i="8"/>
  <c r="AN35" i="8"/>
  <c r="AA46" i="8"/>
  <c r="Z46" i="8"/>
  <c r="Y46" i="8"/>
  <c r="X46" i="8"/>
  <c r="W46" i="8"/>
  <c r="V46" i="8"/>
  <c r="U46" i="8"/>
  <c r="AY49" i="8"/>
  <c r="AX49" i="8"/>
  <c r="AW49" i="8"/>
  <c r="AV49" i="8"/>
  <c r="AU49" i="8"/>
  <c r="AT49" i="8"/>
  <c r="AS49" i="8"/>
  <c r="AR49" i="8"/>
  <c r="AQ49" i="8"/>
  <c r="AP49" i="8"/>
  <c r="AO49" i="8"/>
  <c r="AN49" i="8"/>
  <c r="AM49" i="8"/>
  <c r="AL49" i="8"/>
  <c r="AK49" i="8"/>
  <c r="AJ49" i="8"/>
  <c r="AI49" i="8"/>
  <c r="AH49" i="8"/>
  <c r="AG49" i="8"/>
  <c r="AF49" i="8"/>
  <c r="AE49" i="8"/>
  <c r="AD49" i="8"/>
  <c r="AC49" i="8"/>
  <c r="AB49" i="8"/>
  <c r="AA49" i="8"/>
  <c r="Z49" i="8"/>
  <c r="Y49" i="8"/>
  <c r="X49" i="8"/>
  <c r="W49" i="8"/>
  <c r="V49" i="8"/>
  <c r="U49" i="8"/>
  <c r="T49" i="8"/>
  <c r="S49" i="8"/>
  <c r="R49" i="8"/>
  <c r="Q49" i="8"/>
  <c r="P49" i="8"/>
  <c r="O49" i="8"/>
  <c r="N49" i="8"/>
  <c r="M49" i="8"/>
  <c r="AE8" i="8"/>
  <c r="AT8" i="8"/>
  <c r="AY8" i="8"/>
  <c r="AX8" i="8"/>
  <c r="AW8" i="8"/>
  <c r="AV8" i="8"/>
  <c r="AU8" i="8"/>
  <c r="N9" i="8"/>
  <c r="O9" i="8"/>
  <c r="M9" i="8"/>
  <c r="P9" i="8"/>
  <c r="Q9" i="8"/>
  <c r="R9" i="8"/>
  <c r="T9" i="8"/>
  <c r="U9" i="8"/>
  <c r="AF14" i="8"/>
  <c r="AA14" i="8"/>
  <c r="W14" i="8"/>
  <c r="AI14" i="8"/>
  <c r="AH14" i="8"/>
  <c r="AG14" i="8"/>
  <c r="X14" i="8"/>
  <c r="AE14" i="8"/>
  <c r="AD14" i="8"/>
  <c r="AC14" i="8"/>
  <c r="AB14" i="8"/>
  <c r="Q18" i="8"/>
  <c r="R18" i="8"/>
  <c r="P18" i="8"/>
  <c r="S18" i="8"/>
  <c r="T18" i="8"/>
  <c r="AJ22" i="8"/>
  <c r="AL22" i="8"/>
  <c r="AN22" i="8"/>
  <c r="AT22" i="8"/>
  <c r="AU22" i="8"/>
  <c r="AV22" i="8"/>
  <c r="AW22" i="8"/>
  <c r="AM22" i="8"/>
  <c r="AK22" i="8"/>
  <c r="AO22" i="8"/>
  <c r="AS22" i="8"/>
  <c r="AY29" i="8"/>
  <c r="AI29" i="8"/>
  <c r="AH29" i="8"/>
  <c r="AG29" i="8"/>
  <c r="AF29" i="8"/>
  <c r="AE29" i="8"/>
  <c r="AD29" i="8"/>
  <c r="AC29" i="8"/>
  <c r="AB29" i="8"/>
  <c r="AA29" i="8"/>
  <c r="Z29" i="8"/>
  <c r="Y29" i="8"/>
  <c r="O31" i="8"/>
  <c r="N31" i="8"/>
  <c r="P31" i="8"/>
  <c r="M31" i="8"/>
  <c r="Q31" i="8"/>
  <c r="R31" i="8"/>
  <c r="S31" i="8"/>
  <c r="T31" i="8"/>
  <c r="Q33" i="8"/>
  <c r="V33" i="8"/>
  <c r="W33" i="8"/>
  <c r="X33" i="8"/>
  <c r="Y33" i="8"/>
  <c r="Z33" i="8"/>
  <c r="AA33" i="8"/>
  <c r="AB33" i="8"/>
  <c r="AC33" i="8"/>
  <c r="T33" i="8"/>
  <c r="U33" i="8"/>
  <c r="P33" i="8"/>
  <c r="S33" i="8"/>
  <c r="R33" i="8"/>
  <c r="Q35" i="8"/>
  <c r="AT35" i="8"/>
  <c r="AX35" i="8"/>
  <c r="AW35" i="8"/>
  <c r="AV35" i="8"/>
  <c r="AU35" i="8"/>
  <c r="AS35" i="8"/>
  <c r="AR35" i="8"/>
  <c r="AQ35" i="8"/>
  <c r="AP35" i="8"/>
  <c r="AP36" i="8"/>
  <c r="AN36" i="8"/>
  <c r="AO36" i="8"/>
  <c r="AM36" i="8"/>
  <c r="AL36" i="8"/>
  <c r="AK36" i="8"/>
  <c r="AJ36" i="8"/>
  <c r="AI36" i="8"/>
  <c r="AH36" i="8"/>
  <c r="AG36" i="8"/>
  <c r="AF36" i="8"/>
  <c r="AE36" i="8"/>
  <c r="AW46" i="8"/>
  <c r="AT46" i="8"/>
  <c r="AL46" i="8"/>
  <c r="AM46" i="8"/>
  <c r="AN46" i="8"/>
  <c r="AO46" i="8"/>
  <c r="AP46" i="8"/>
  <c r="AQ46" i="8"/>
  <c r="AR46" i="8"/>
  <c r="AY46" i="8"/>
  <c r="AX46" i="8"/>
  <c r="AS46" i="8"/>
  <c r="AV46" i="8"/>
  <c r="AU46" i="8"/>
  <c r="AK46" i="8"/>
  <c r="U52" i="8"/>
  <c r="M52" i="8"/>
  <c r="N52" i="8"/>
  <c r="O52" i="8"/>
  <c r="P52" i="8"/>
  <c r="Q52" i="8"/>
  <c r="V52" i="8"/>
  <c r="W52" i="8"/>
  <c r="X52" i="8"/>
  <c r="Y52" i="8"/>
  <c r="Z52" i="8"/>
  <c r="AA52" i="8"/>
  <c r="AB52" i="8"/>
  <c r="AC52" i="8"/>
  <c r="AD52" i="8"/>
  <c r="R52" i="8"/>
  <c r="S52" i="8"/>
  <c r="T52" i="8"/>
  <c r="AY30" i="8"/>
  <c r="AX30" i="8"/>
  <c r="AW30" i="8"/>
  <c r="AV30" i="8"/>
  <c r="AU30" i="8"/>
  <c r="AT30" i="8"/>
  <c r="AS30" i="8"/>
  <c r="AR30" i="8"/>
  <c r="AQ30" i="8"/>
  <c r="AP30" i="8"/>
  <c r="AO30" i="8"/>
  <c r="AN30" i="8"/>
  <c r="AM30" i="8"/>
  <c r="AL30" i="8"/>
  <c r="AK30" i="8"/>
  <c r="AJ30" i="8"/>
  <c r="AI30" i="8"/>
  <c r="AH30" i="8"/>
  <c r="AG30" i="8"/>
  <c r="AF30" i="8"/>
  <c r="AE30" i="8"/>
  <c r="AD30" i="8"/>
  <c r="AC30" i="8"/>
  <c r="AB30" i="8"/>
  <c r="AA30" i="8"/>
  <c r="Z30" i="8"/>
  <c r="Y30" i="8"/>
  <c r="X30" i="8"/>
  <c r="W30" i="8"/>
  <c r="V30" i="8"/>
  <c r="U30" i="8"/>
  <c r="T30" i="8"/>
  <c r="S30" i="8"/>
  <c r="R30" i="8"/>
  <c r="Q30" i="8"/>
  <c r="P30" i="8"/>
  <c r="O30" i="8"/>
  <c r="N30" i="8"/>
  <c r="M30" i="8"/>
  <c r="AY48" i="8"/>
  <c r="AX48" i="8"/>
  <c r="AW48" i="8"/>
  <c r="AV48" i="8"/>
  <c r="AU48" i="8"/>
  <c r="AT48" i="8"/>
  <c r="AS48" i="8"/>
  <c r="AR48" i="8"/>
  <c r="AQ48" i="8"/>
  <c r="AP48" i="8"/>
  <c r="AO48" i="8"/>
  <c r="AN48" i="8"/>
  <c r="AM48" i="8"/>
  <c r="AL48" i="8"/>
  <c r="AK48" i="8"/>
  <c r="AJ48" i="8"/>
  <c r="AI48" i="8"/>
  <c r="AH48" i="8"/>
  <c r="AG48" i="8"/>
  <c r="AF48" i="8"/>
  <c r="AE48" i="8"/>
  <c r="AD48" i="8"/>
  <c r="AC48" i="8"/>
  <c r="AB48" i="8"/>
  <c r="AA48" i="8"/>
  <c r="Z48" i="8"/>
  <c r="Y48" i="8"/>
  <c r="X48" i="8"/>
  <c r="W48" i="8"/>
  <c r="V48" i="8"/>
  <c r="U48" i="8"/>
  <c r="T48" i="8"/>
  <c r="S48" i="8"/>
  <c r="R48" i="8"/>
  <c r="Q48" i="8"/>
  <c r="P48" i="8"/>
  <c r="O48" i="8"/>
  <c r="N48" i="8"/>
  <c r="M48" i="8"/>
  <c r="AY47" i="8"/>
  <c r="AX47" i="8"/>
  <c r="AW47" i="8"/>
  <c r="AV47" i="8"/>
  <c r="AU47" i="8"/>
  <c r="AT47" i="8"/>
  <c r="AS47" i="8"/>
  <c r="AR47" i="8"/>
  <c r="AQ47" i="8"/>
  <c r="AP47" i="8"/>
  <c r="AO47" i="8"/>
  <c r="AN47" i="8"/>
  <c r="AM47" i="8"/>
  <c r="AL47" i="8"/>
  <c r="AK47" i="8"/>
  <c r="AJ47" i="8"/>
  <c r="AI47" i="8"/>
  <c r="AH47" i="8"/>
  <c r="AG47" i="8"/>
  <c r="AF47" i="8"/>
  <c r="AE47" i="8"/>
  <c r="AD47" i="8"/>
  <c r="AC47" i="8"/>
  <c r="AB47" i="8"/>
  <c r="AA47" i="8"/>
  <c r="Z47" i="8"/>
  <c r="Y47" i="8"/>
  <c r="X47" i="8"/>
  <c r="W47" i="8"/>
  <c r="V47" i="8"/>
  <c r="U47" i="8"/>
  <c r="T47" i="8"/>
  <c r="S47" i="8"/>
  <c r="R47" i="8"/>
  <c r="Q47" i="8"/>
  <c r="P47" i="8"/>
  <c r="O47" i="8"/>
  <c r="N47" i="8"/>
  <c r="M47" i="8"/>
  <c r="P7" i="8"/>
  <c r="T7" i="8"/>
  <c r="S9" i="8"/>
  <c r="AY9" i="8"/>
  <c r="AX9" i="8"/>
  <c r="N10" i="8"/>
  <c r="AU10" i="8"/>
  <c r="AD10" i="8"/>
  <c r="AS10" i="8"/>
  <c r="AR10" i="8"/>
  <c r="AQ10" i="8"/>
  <c r="AP10" i="8"/>
  <c r="AO10" i="8"/>
  <c r="AN10" i="8"/>
  <c r="AM10" i="8"/>
  <c r="AL10" i="8"/>
  <c r="AK10" i="8"/>
  <c r="AJ10" i="8"/>
  <c r="AI10" i="8"/>
  <c r="AY10" i="8"/>
  <c r="AX10" i="8"/>
  <c r="AW10" i="8"/>
  <c r="AV10" i="8"/>
  <c r="AH10" i="8"/>
  <c r="AG10" i="8"/>
  <c r="AF10" i="8"/>
  <c r="AE10" i="8"/>
  <c r="M10" i="8"/>
  <c r="O10" i="8"/>
  <c r="P10" i="8"/>
  <c r="Q10" i="8"/>
  <c r="R10" i="8"/>
  <c r="S10" i="8"/>
  <c r="T10" i="8"/>
  <c r="U10" i="8"/>
  <c r="V10" i="8"/>
  <c r="W10" i="8"/>
  <c r="X10" i="8"/>
  <c r="Y10" i="8"/>
  <c r="Z10" i="8"/>
  <c r="AA10" i="8"/>
  <c r="AB10" i="8"/>
  <c r="AC10" i="8"/>
  <c r="AT10" i="8"/>
  <c r="M11" i="8"/>
  <c r="N11" i="8"/>
  <c r="O11" i="8"/>
  <c r="P11" i="8"/>
  <c r="Q11" i="8"/>
  <c r="R11" i="8"/>
  <c r="S11" i="8"/>
  <c r="T11" i="8"/>
  <c r="V11" i="8"/>
  <c r="W11" i="8"/>
  <c r="X11" i="8"/>
  <c r="Y11" i="8"/>
  <c r="X12" i="8"/>
  <c r="W12" i="8"/>
  <c r="V12" i="8"/>
  <c r="U12" i="8"/>
  <c r="AS14" i="8"/>
  <c r="AT14" i="8"/>
  <c r="AU14" i="8"/>
  <c r="AV14" i="8"/>
  <c r="AW14" i="8"/>
  <c r="AX14" i="8"/>
  <c r="AY14" i="8"/>
  <c r="AP14" i="8"/>
  <c r="AQ14" i="8"/>
  <c r="AR14" i="8"/>
  <c r="N15" i="8"/>
  <c r="P15" i="8"/>
  <c r="Q15" i="8"/>
  <c r="R15" i="8"/>
  <c r="S15" i="8"/>
  <c r="T15" i="8"/>
  <c r="U15" i="8"/>
  <c r="V15" i="8"/>
  <c r="W15" i="8"/>
  <c r="X15" i="8"/>
  <c r="Y15" i="8"/>
  <c r="Z15" i="8"/>
  <c r="AA15" i="8"/>
  <c r="AB15" i="8"/>
  <c r="Q19" i="8"/>
  <c r="U19" i="8"/>
  <c r="AB19" i="8"/>
  <c r="AA19" i="8"/>
  <c r="Z19" i="8"/>
  <c r="Y19" i="8"/>
  <c r="X19" i="8"/>
  <c r="W19" i="8"/>
  <c r="V19" i="8"/>
  <c r="AS19" i="8"/>
  <c r="AR19" i="8"/>
  <c r="AQ19" i="8"/>
  <c r="AP19" i="8"/>
  <c r="AN19" i="8"/>
  <c r="AL19" i="8"/>
  <c r="AK19" i="8"/>
  <c r="AJ19" i="8"/>
  <c r="AI19" i="8"/>
  <c r="AE19" i="8"/>
  <c r="AO19" i="8"/>
  <c r="AM19" i="8"/>
  <c r="M19" i="8"/>
  <c r="N19" i="8"/>
  <c r="O19" i="8"/>
  <c r="P19" i="8"/>
  <c r="AD19" i="8"/>
  <c r="R19" i="8"/>
  <c r="S19" i="8"/>
  <c r="T19" i="8"/>
  <c r="AC19" i="8"/>
  <c r="M20" i="8"/>
  <c r="N20" i="8"/>
  <c r="O20" i="8"/>
  <c r="P20" i="8"/>
  <c r="Q20" i="8"/>
  <c r="R20" i="8"/>
  <c r="S20" i="8"/>
  <c r="AN23" i="8"/>
  <c r="T23" i="8"/>
  <c r="AT23" i="8"/>
  <c r="AU23" i="8"/>
  <c r="AV23" i="8"/>
  <c r="AW23" i="8"/>
  <c r="AX23" i="8"/>
  <c r="AR23" i="8"/>
  <c r="AY23" i="8"/>
  <c r="AQ23" i="8"/>
  <c r="AB23" i="8"/>
  <c r="AP23" i="8"/>
  <c r="Z23" i="8"/>
  <c r="Y23" i="8"/>
  <c r="X23" i="8"/>
  <c r="W23" i="8"/>
  <c r="AS23" i="8"/>
  <c r="V23" i="8"/>
  <c r="U23" i="8"/>
  <c r="AC23" i="8"/>
  <c r="AA23" i="8"/>
  <c r="AO23" i="8"/>
  <c r="U24" i="8"/>
  <c r="T24" i="8"/>
  <c r="R24" i="8"/>
  <c r="Q24" i="8"/>
  <c r="P24" i="8"/>
  <c r="O24" i="8"/>
  <c r="N24" i="8"/>
  <c r="M24" i="8"/>
  <c r="S24" i="8"/>
  <c r="AN31" i="8"/>
  <c r="Y31" i="8"/>
  <c r="AL31" i="8"/>
  <c r="AP31" i="8"/>
  <c r="AQ31" i="8"/>
  <c r="AW31" i="8"/>
  <c r="AX31" i="8"/>
  <c r="AY31" i="8"/>
  <c r="AK31" i="8"/>
  <c r="AJ31" i="8"/>
  <c r="AI31" i="8"/>
  <c r="AH31" i="8"/>
  <c r="AG31" i="8"/>
  <c r="AF31" i="8"/>
  <c r="AE31" i="8"/>
  <c r="AD31" i="8"/>
  <c r="AC31" i="8"/>
  <c r="AB31" i="8"/>
  <c r="AA31" i="8"/>
  <c r="Z31" i="8"/>
  <c r="AO31" i="8"/>
  <c r="U31" i="8"/>
  <c r="V31" i="8"/>
  <c r="W31" i="8"/>
  <c r="X31" i="8"/>
  <c r="AM31" i="8"/>
  <c r="Q32" i="8"/>
  <c r="P32" i="8"/>
  <c r="O32" i="8"/>
  <c r="N32" i="8"/>
  <c r="M32" i="8"/>
  <c r="AW36" i="8"/>
  <c r="AV36" i="8"/>
  <c r="AU36" i="8"/>
  <c r="AT36" i="8"/>
  <c r="AS36" i="8"/>
  <c r="AR36" i="8"/>
  <c r="AQ36" i="8"/>
  <c r="AY36" i="8"/>
  <c r="AX36" i="8"/>
  <c r="AE38" i="8"/>
  <c r="AD38" i="8"/>
  <c r="AB38" i="8"/>
  <c r="AC38" i="8"/>
  <c r="AA38" i="8"/>
  <c r="AG38" i="8"/>
  <c r="AF38" i="8"/>
  <c r="Y38" i="8"/>
  <c r="Z38" i="8"/>
  <c r="AY44" i="8"/>
  <c r="AX44" i="8"/>
  <c r="AW44" i="8"/>
  <c r="AV44" i="8"/>
  <c r="AU44" i="8"/>
  <c r="AT44" i="8"/>
  <c r="AS44" i="8"/>
  <c r="AR44" i="8"/>
  <c r="AQ44" i="8"/>
  <c r="AP44" i="8"/>
  <c r="AO44" i="8"/>
  <c r="AN44" i="8"/>
  <c r="AM44" i="8"/>
  <c r="AL44" i="8"/>
  <c r="AF45" i="8"/>
  <c r="M45" i="8"/>
  <c r="AE45" i="8"/>
  <c r="AC45" i="8"/>
  <c r="AB45" i="8"/>
  <c r="AA45" i="8"/>
  <c r="Z45" i="8"/>
  <c r="Y45" i="8"/>
  <c r="X45" i="8"/>
  <c r="W45" i="8"/>
  <c r="V45" i="8"/>
  <c r="U45" i="8"/>
  <c r="T45" i="8"/>
  <c r="S45" i="8"/>
  <c r="R45" i="8"/>
  <c r="Q45" i="8"/>
  <c r="P45" i="8"/>
  <c r="O45" i="8"/>
  <c r="N45" i="8"/>
  <c r="AD45" i="8"/>
  <c r="AH52" i="8"/>
  <c r="AI52" i="8"/>
  <c r="AJ52" i="8"/>
  <c r="AK52" i="8"/>
  <c r="AL52" i="8"/>
  <c r="AM52" i="8"/>
  <c r="AN52" i="8"/>
  <c r="AO52" i="8"/>
  <c r="AP52" i="8"/>
  <c r="AQ52" i="8"/>
  <c r="AR52" i="8"/>
  <c r="AS52" i="8"/>
  <c r="AT52" i="8"/>
  <c r="AU52" i="8"/>
  <c r="AV52" i="8"/>
  <c r="AW52" i="8"/>
  <c r="AX52" i="8"/>
  <c r="AY52" i="8"/>
  <c r="AG52" i="8"/>
  <c r="AF52" i="8"/>
  <c r="AE52" i="8"/>
  <c r="AN7" i="8"/>
  <c r="AI7" i="8"/>
  <c r="AJ7" i="8"/>
  <c r="AK7" i="8"/>
  <c r="AL7" i="8"/>
  <c r="AM7" i="8"/>
  <c r="U11" i="8"/>
  <c r="Z11" i="8"/>
  <c r="AA11" i="8"/>
  <c r="AB11" i="8"/>
  <c r="AC11" i="8"/>
  <c r="AD11" i="8"/>
  <c r="AI11" i="8"/>
  <c r="AJ11" i="8"/>
  <c r="AK11" i="8"/>
  <c r="AL11" i="8"/>
  <c r="AM11" i="8"/>
  <c r="AN11" i="8"/>
  <c r="AO11" i="8"/>
  <c r="AP11" i="8"/>
  <c r="AQ11" i="8"/>
  <c r="AR11" i="8"/>
  <c r="AS11" i="8"/>
  <c r="AT11" i="8"/>
  <c r="AW11" i="8"/>
  <c r="AX11" i="8"/>
  <c r="AY11" i="8"/>
  <c r="M12" i="8"/>
  <c r="N12" i="8"/>
  <c r="O12" i="8"/>
  <c r="P12" i="8"/>
  <c r="Q12" i="8"/>
  <c r="R12" i="8"/>
  <c r="S12" i="8"/>
  <c r="T12" i="8"/>
  <c r="AO16" i="8"/>
  <c r="AJ16" i="8"/>
  <c r="AK16" i="8"/>
  <c r="AL16" i="8"/>
  <c r="AM16" i="8"/>
  <c r="AN16" i="8"/>
  <c r="AI16" i="8"/>
  <c r="AP16" i="8"/>
  <c r="AQ16" i="8"/>
  <c r="AR16" i="8"/>
  <c r="AS16" i="8"/>
  <c r="AT16" i="8"/>
  <c r="AU16" i="8"/>
  <c r="AV16" i="8"/>
  <c r="AW16" i="8"/>
  <c r="AX16" i="8"/>
  <c r="P17" i="8"/>
  <c r="Q17" i="8"/>
  <c r="R17" i="8"/>
  <c r="S17" i="8"/>
  <c r="T17" i="8"/>
  <c r="U17" i="8"/>
  <c r="V17" i="8"/>
  <c r="P21" i="8"/>
  <c r="O21" i="8"/>
  <c r="Q21" i="8"/>
  <c r="R21" i="8"/>
  <c r="S21" i="8"/>
  <c r="T21" i="8"/>
  <c r="U21" i="8"/>
  <c r="V21" i="8"/>
  <c r="W21" i="8"/>
  <c r="X21" i="8"/>
  <c r="Y21" i="8"/>
  <c r="Z21" i="8"/>
  <c r="AA21" i="8"/>
  <c r="AB21" i="8"/>
  <c r="AC21" i="8"/>
  <c r="AD21" i="8"/>
  <c r="AE21" i="8"/>
  <c r="AF21" i="8"/>
  <c r="AG21" i="8"/>
  <c r="AH21" i="8"/>
  <c r="AK21" i="8"/>
  <c r="AL21" i="8"/>
  <c r="AM21" i="8"/>
  <c r="AN21" i="8"/>
  <c r="AW26" i="8"/>
  <c r="AV26" i="8"/>
  <c r="AX26" i="8"/>
  <c r="AY26" i="8"/>
  <c r="AA27" i="8"/>
  <c r="AY27" i="8"/>
  <c r="O27" i="8"/>
  <c r="P27" i="8"/>
  <c r="Q27" i="8"/>
  <c r="R27" i="8"/>
  <c r="S27" i="8"/>
  <c r="T27" i="8"/>
  <c r="U27" i="8"/>
  <c r="V27" i="8"/>
  <c r="W27" i="8"/>
  <c r="X27" i="8"/>
  <c r="Y27" i="8"/>
  <c r="Z27" i="8"/>
  <c r="M27" i="8"/>
  <c r="AB27" i="8"/>
  <c r="AC27" i="8"/>
  <c r="AD27" i="8"/>
  <c r="AE27" i="8"/>
  <c r="AF27" i="8"/>
  <c r="AS27" i="8"/>
  <c r="AT27" i="8"/>
  <c r="AU27" i="8"/>
  <c r="AV27" i="8"/>
  <c r="AW27" i="8"/>
  <c r="AX27" i="8"/>
  <c r="N27" i="8"/>
  <c r="AP33" i="8"/>
  <c r="AQ33" i="8"/>
  <c r="AR33" i="8"/>
  <c r="AD34" i="8"/>
  <c r="R34" i="8"/>
  <c r="S34" i="8"/>
  <c r="T34" i="8"/>
  <c r="U34" i="8"/>
  <c r="V34" i="8"/>
  <c r="W34" i="8"/>
  <c r="X34" i="8"/>
  <c r="Y34" i="8"/>
  <c r="Z34" i="8"/>
  <c r="AA34" i="8"/>
  <c r="AB34" i="8"/>
  <c r="AC34" i="8"/>
  <c r="Q34" i="8"/>
  <c r="AE34" i="8"/>
  <c r="AF34" i="8"/>
  <c r="AG34" i="8"/>
  <c r="AH34" i="8"/>
  <c r="AG45" i="8"/>
  <c r="AH45" i="8"/>
  <c r="AI45" i="8"/>
  <c r="AJ45" i="8"/>
  <c r="AK45" i="8"/>
  <c r="AL45" i="8"/>
  <c r="AM45" i="8"/>
  <c r="AN45" i="8"/>
  <c r="AO45" i="8"/>
  <c r="AP45" i="8"/>
  <c r="AQ45" i="8"/>
  <c r="AR45" i="8"/>
  <c r="AS45" i="8"/>
  <c r="AT45" i="8"/>
  <c r="AU45" i="8"/>
  <c r="AV45" i="8"/>
  <c r="AW45" i="8"/>
  <c r="AX45" i="8"/>
  <c r="AY45" i="8"/>
  <c r="Z13" i="8"/>
  <c r="AF13" i="8"/>
  <c r="AW13" i="8"/>
  <c r="S13" i="8"/>
  <c r="AY13" i="8"/>
  <c r="T13" i="8"/>
  <c r="R13" i="8"/>
  <c r="AB13" i="8"/>
  <c r="AG13" i="8"/>
  <c r="AI13" i="8"/>
  <c r="AK13" i="8"/>
  <c r="AT13" i="8"/>
  <c r="U13" i="8"/>
  <c r="AC13" i="8"/>
  <c r="AE13" i="8"/>
  <c r="AS13" i="8"/>
  <c r="AU13" i="8"/>
  <c r="Q13" i="8"/>
  <c r="P13" i="8"/>
  <c r="AA13" i="8"/>
  <c r="AD13" i="8"/>
  <c r="AH13" i="8"/>
  <c r="AJ13" i="8"/>
  <c r="AR13" i="8"/>
  <c r="AV13" i="8"/>
  <c r="AX13" i="8"/>
  <c r="M7" i="8"/>
  <c r="W7" i="8"/>
  <c r="O7" i="8"/>
  <c r="V7" i="8"/>
  <c r="X7" i="8"/>
  <c r="Y7" i="8"/>
  <c r="Z7" i="8"/>
  <c r="AD7" i="8"/>
  <c r="Q7" i="8"/>
  <c r="U7" i="8"/>
  <c r="M15" i="8"/>
  <c r="O15" i="8"/>
  <c r="AE11" i="8"/>
  <c r="AF11" i="8"/>
  <c r="AG11" i="8"/>
  <c r="AH11" i="8"/>
  <c r="AL15" i="8"/>
  <c r="AM15" i="8"/>
  <c r="AN15" i="8"/>
  <c r="AO15" i="8"/>
  <c r="AP15" i="8"/>
  <c r="AQ15" i="8"/>
  <c r="AR15" i="8"/>
  <c r="AS15" i="8"/>
  <c r="AT15" i="8"/>
  <c r="AU15" i="8"/>
  <c r="AV15" i="8"/>
  <c r="AW15" i="8"/>
  <c r="AX15" i="8"/>
  <c r="AY15" i="8"/>
  <c r="AY16" i="8"/>
  <c r="M16" i="8"/>
  <c r="N16" i="8"/>
  <c r="O16" i="8"/>
  <c r="AT19" i="8"/>
  <c r="AU19" i="8"/>
  <c r="AV19" i="8"/>
  <c r="AW19" i="8"/>
  <c r="AX19" i="8"/>
  <c r="AY19" i="8"/>
  <c r="AA24" i="8"/>
  <c r="AB24" i="8"/>
  <c r="AC24" i="8"/>
  <c r="AD24" i="8"/>
  <c r="AE24" i="8"/>
  <c r="AF24" i="8"/>
  <c r="AG24" i="8"/>
  <c r="AH24" i="8"/>
  <c r="AI24" i="8"/>
  <c r="AJ24" i="8"/>
  <c r="Y32" i="8"/>
  <c r="S32" i="8"/>
  <c r="T32" i="8"/>
  <c r="U32" i="8"/>
  <c r="V32" i="8"/>
  <c r="W32" i="8"/>
  <c r="X32" i="8"/>
  <c r="R32" i="8"/>
  <c r="Z32" i="8"/>
  <c r="AA32" i="8"/>
  <c r="AB32" i="8"/>
  <c r="AC32" i="8"/>
  <c r="AD32" i="8"/>
  <c r="AE32" i="8"/>
  <c r="AF32" i="8"/>
  <c r="AG32" i="8"/>
  <c r="AH32" i="8"/>
  <c r="AI32" i="8"/>
  <c r="AJ32" i="8"/>
  <c r="AK32" i="8"/>
  <c r="AX32" i="8"/>
  <c r="M33" i="8"/>
  <c r="N33" i="8"/>
  <c r="O33" i="8"/>
  <c r="O37" i="8"/>
  <c r="AB37" i="8"/>
  <c r="M37" i="8"/>
  <c r="P37" i="8"/>
  <c r="Q37" i="8"/>
  <c r="R37" i="8"/>
  <c r="S37" i="8"/>
  <c r="T37" i="8"/>
  <c r="U37" i="8"/>
  <c r="V37" i="8"/>
  <c r="W37" i="8"/>
  <c r="X37" i="8"/>
  <c r="Y37" i="8"/>
  <c r="Z37" i="8"/>
  <c r="AA37" i="8"/>
  <c r="N37" i="8"/>
  <c r="M38" i="8"/>
  <c r="N38" i="8"/>
  <c r="O38" i="8"/>
  <c r="P38" i="8"/>
  <c r="Q38" i="8"/>
  <c r="R38" i="8"/>
  <c r="S38" i="8"/>
  <c r="T38" i="8"/>
  <c r="U38" i="8"/>
  <c r="V38" i="8"/>
  <c r="W38" i="8"/>
  <c r="X38" i="8"/>
  <c r="AU11" i="8"/>
  <c r="AV11" i="8"/>
  <c r="AU20" i="8"/>
  <c r="AK20" i="8"/>
  <c r="AL20" i="8"/>
  <c r="AM20" i="8"/>
  <c r="AN20" i="8"/>
  <c r="AO20" i="8"/>
  <c r="AP20" i="8"/>
  <c r="AQ20" i="8"/>
  <c r="AR20" i="8"/>
  <c r="AS20" i="8"/>
  <c r="AT20" i="8"/>
  <c r="AJ20" i="8"/>
  <c r="AV20" i="8"/>
  <c r="Y26" i="8"/>
  <c r="Z26" i="8"/>
  <c r="AA26" i="8"/>
  <c r="AB26" i="8"/>
  <c r="AC26" i="8"/>
  <c r="AD26" i="8"/>
  <c r="AE26" i="8"/>
  <c r="AF26" i="8"/>
  <c r="AG26" i="8"/>
  <c r="AH26" i="8"/>
  <c r="AI26" i="8"/>
  <c r="AQ32" i="8"/>
  <c r="AM32" i="8"/>
  <c r="AN32" i="8"/>
  <c r="AO32" i="8"/>
  <c r="AP32" i="8"/>
  <c r="AL32" i="8"/>
  <c r="AR32" i="8"/>
  <c r="AS32" i="8"/>
  <c r="AT32" i="8"/>
  <c r="AU32" i="8"/>
  <c r="AV32" i="8"/>
  <c r="AW32" i="8"/>
  <c r="AI37" i="8"/>
  <c r="AD37" i="8"/>
  <c r="AE37" i="8"/>
  <c r="AF37" i="8"/>
  <c r="AG37" i="8"/>
  <c r="AH37" i="8"/>
  <c r="AC37" i="8"/>
  <c r="AJ37" i="8"/>
  <c r="AK37" i="8"/>
  <c r="AL37" i="8"/>
  <c r="AM37" i="8"/>
  <c r="AN37" i="8"/>
  <c r="AO37" i="8"/>
  <c r="AP37" i="8"/>
  <c r="AQ37" i="8"/>
  <c r="AR37" i="8"/>
  <c r="AS37" i="8"/>
  <c r="AT37" i="8"/>
  <c r="AU37" i="8"/>
  <c r="AV37" i="8"/>
  <c r="AW37" i="8"/>
  <c r="AX37" i="8"/>
  <c r="AY37" i="8"/>
  <c r="AF12" i="8"/>
  <c r="AG12" i="8"/>
  <c r="AH12" i="8"/>
  <c r="AI12" i="8"/>
  <c r="AJ12" i="8"/>
  <c r="M17" i="8"/>
  <c r="N17" i="8"/>
  <c r="O17" i="8"/>
  <c r="AI21" i="8"/>
  <c r="AJ21" i="8"/>
  <c r="AN27" i="8"/>
  <c r="AH27" i="8"/>
  <c r="AI27" i="8"/>
  <c r="AJ27" i="8"/>
  <c r="AK27" i="8"/>
  <c r="AL27" i="8"/>
  <c r="AM27" i="8"/>
  <c r="AG27" i="8"/>
  <c r="AO27" i="8"/>
  <c r="AP27" i="8"/>
  <c r="AQ27" i="8"/>
  <c r="AR27" i="8"/>
  <c r="AT33" i="8"/>
  <c r="AS33" i="8"/>
  <c r="AU33" i="8"/>
  <c r="AV33" i="8"/>
  <c r="AW33" i="8"/>
  <c r="AX33" i="8"/>
  <c r="AY33" i="8"/>
  <c r="AQ38" i="8"/>
  <c r="AI38" i="8"/>
  <c r="AJ38" i="8"/>
  <c r="AK38" i="8"/>
  <c r="AL38" i="8"/>
  <c r="AM38" i="8"/>
  <c r="AN38" i="8"/>
  <c r="AO38" i="8"/>
  <c r="AP38" i="8"/>
  <c r="AH38" i="8"/>
  <c r="AR38" i="8"/>
  <c r="AS38" i="8"/>
  <c r="AT38" i="8"/>
  <c r="AU38" i="8"/>
  <c r="AV38" i="8"/>
  <c r="AW38" i="8"/>
  <c r="AX38" i="8"/>
  <c r="AY38" i="8"/>
  <c r="AX42" i="8"/>
  <c r="AP42" i="8"/>
  <c r="AQ42" i="8"/>
  <c r="AR42" i="8"/>
  <c r="AS42" i="8"/>
  <c r="AT42" i="8"/>
  <c r="AU42" i="8"/>
  <c r="AV42" i="8"/>
  <c r="AW42" i="8"/>
  <c r="AO42" i="8"/>
  <c r="AY42" i="8"/>
  <c r="T44" i="8"/>
  <c r="AK44" i="8"/>
  <c r="O44" i="8"/>
  <c r="P44" i="8"/>
  <c r="Q44" i="8"/>
  <c r="R44" i="8"/>
  <c r="S44" i="8"/>
  <c r="M44" i="8"/>
  <c r="U44" i="8"/>
  <c r="V44" i="8"/>
  <c r="W44" i="8"/>
  <c r="X44" i="8"/>
  <c r="Y44" i="8"/>
  <c r="Z44" i="8"/>
  <c r="AA44" i="8"/>
  <c r="AB44" i="8"/>
  <c r="AC44" i="8"/>
  <c r="AD44" i="8"/>
  <c r="AE44" i="8"/>
  <c r="AF44" i="8"/>
  <c r="AG44" i="8"/>
  <c r="AH44" i="8"/>
  <c r="AI44" i="8"/>
  <c r="AJ44" i="8"/>
  <c r="N44" i="8"/>
  <c r="AX12" i="8"/>
  <c r="AY12" i="8"/>
  <c r="M13" i="8"/>
  <c r="N13" i="8"/>
  <c r="O13" i="8"/>
  <c r="AW17" i="8"/>
  <c r="AI17" i="8"/>
  <c r="AJ17" i="8"/>
  <c r="AK17" i="8"/>
  <c r="AL17" i="8"/>
  <c r="AM17" i="8"/>
  <c r="AD22" i="8"/>
  <c r="X22" i="8"/>
  <c r="Y22" i="8"/>
  <c r="Z22" i="8"/>
  <c r="AA22" i="8"/>
  <c r="AB22" i="8"/>
  <c r="AC22" i="8"/>
  <c r="W22" i="8"/>
  <c r="AE22" i="8"/>
  <c r="Y28" i="8"/>
  <c r="V28" i="8"/>
  <c r="W28" i="8"/>
  <c r="X28" i="8"/>
  <c r="U28" i="8"/>
  <c r="Z28" i="8"/>
  <c r="AA28" i="8"/>
  <c r="AB28" i="8"/>
  <c r="AC28" i="8"/>
  <c r="AD28" i="8"/>
  <c r="AE28" i="8"/>
  <c r="AF28" i="8"/>
  <c r="AG28" i="8"/>
  <c r="AH28" i="8"/>
  <c r="AI28" i="8"/>
  <c r="AJ28" i="8"/>
  <c r="T39" i="8"/>
  <c r="AT39" i="8"/>
  <c r="O39" i="8"/>
  <c r="P39" i="8"/>
  <c r="Q39" i="8"/>
  <c r="R39" i="8"/>
  <c r="S39" i="8"/>
  <c r="M39" i="8"/>
  <c r="U39" i="8"/>
  <c r="V39" i="8"/>
  <c r="W39" i="8"/>
  <c r="AP39" i="8"/>
  <c r="AQ39" i="8"/>
  <c r="AR39" i="8"/>
  <c r="AS39" i="8"/>
  <c r="N39" i="8"/>
  <c r="AS40" i="8"/>
  <c r="AT40" i="8"/>
  <c r="AU40" i="8"/>
  <c r="AV40" i="8"/>
  <c r="AW40" i="8"/>
  <c r="AX40" i="8"/>
  <c r="AY40" i="8"/>
  <c r="M41" i="8"/>
  <c r="N41" i="8"/>
  <c r="O41" i="8"/>
  <c r="P41" i="8"/>
  <c r="AM8" i="8"/>
  <c r="AN8" i="8"/>
  <c r="AO8" i="8"/>
  <c r="V13" i="8"/>
  <c r="W13" i="8"/>
  <c r="X13" i="8"/>
  <c r="Y13" i="8"/>
  <c r="AP22" i="8"/>
  <c r="AQ22" i="8"/>
  <c r="AR22" i="8"/>
  <c r="AS28" i="8"/>
  <c r="AR28" i="8"/>
  <c r="AT28" i="8"/>
  <c r="AU28" i="8"/>
  <c r="AV28" i="8"/>
  <c r="AW28" i="8"/>
  <c r="AX28" i="8"/>
  <c r="AY28" i="8"/>
  <c r="M29" i="8"/>
  <c r="N29" i="8"/>
  <c r="O29" i="8"/>
  <c r="P29" i="8"/>
  <c r="Q29" i="8"/>
  <c r="M34" i="8"/>
  <c r="N34" i="8"/>
  <c r="O34" i="8"/>
  <c r="P34" i="8"/>
  <c r="AA39" i="8"/>
  <c r="Y39" i="8"/>
  <c r="Z39" i="8"/>
  <c r="X39" i="8"/>
  <c r="AB39" i="8"/>
  <c r="AC39" i="8"/>
  <c r="AD39" i="8"/>
  <c r="AE39" i="8"/>
  <c r="AF39" i="8"/>
  <c r="AG39" i="8"/>
  <c r="AH39" i="8"/>
  <c r="AI39" i="8"/>
  <c r="AJ39" i="8"/>
  <c r="AK39" i="8"/>
  <c r="AL39" i="8"/>
  <c r="AM39" i="8"/>
  <c r="AN39" i="8"/>
  <c r="AO39" i="8"/>
  <c r="N7" i="8"/>
  <c r="R7" i="8"/>
  <c r="S7" i="8"/>
  <c r="M8" i="8"/>
  <c r="S8" i="8"/>
  <c r="N8" i="8"/>
  <c r="O8" i="8"/>
  <c r="T8" i="8"/>
  <c r="Q8" i="8"/>
  <c r="V8" i="8"/>
  <c r="AQ8" i="8"/>
  <c r="AR8" i="8"/>
  <c r="AL13" i="8"/>
  <c r="AM13" i="8"/>
  <c r="AN13" i="8"/>
  <c r="AO13" i="8"/>
  <c r="AP13" i="8"/>
  <c r="AQ13" i="8"/>
  <c r="AG18" i="8"/>
  <c r="AH18" i="8"/>
  <c r="AI18" i="8"/>
  <c r="AJ18" i="8"/>
  <c r="AK18" i="8"/>
  <c r="AL18" i="8"/>
  <c r="AM18" i="8"/>
  <c r="AN18" i="8"/>
  <c r="AO18" i="8"/>
  <c r="AP18" i="8"/>
  <c r="AQ18" i="8"/>
  <c r="AG23" i="8"/>
  <c r="AE23" i="8"/>
  <c r="AF23" i="8"/>
  <c r="AD23" i="8"/>
  <c r="AH23" i="8"/>
  <c r="AI23" i="8"/>
  <c r="AJ23" i="8"/>
  <c r="AK23" i="8"/>
  <c r="AL23" i="8"/>
  <c r="AM23" i="8"/>
  <c r="AM29" i="8"/>
  <c r="AK29" i="8"/>
  <c r="AL29" i="8"/>
  <c r="AJ29" i="8"/>
  <c r="AN29" i="8"/>
  <c r="AO29" i="8"/>
  <c r="AP29" i="8"/>
  <c r="AQ29" i="8"/>
  <c r="AR29" i="8"/>
  <c r="AS29" i="8"/>
  <c r="AT29" i="8"/>
  <c r="AU29" i="8"/>
  <c r="AV29" i="8"/>
  <c r="AW29" i="8"/>
  <c r="AX29" i="8"/>
  <c r="AP34" i="8"/>
  <c r="AY34" i="8"/>
  <c r="AK34" i="8"/>
  <c r="AL34" i="8"/>
  <c r="AM34" i="8"/>
  <c r="AN34" i="8"/>
  <c r="AO34" i="8"/>
  <c r="AI34" i="8"/>
  <c r="AQ34" i="8"/>
  <c r="AR34" i="8"/>
  <c r="AS34" i="8"/>
  <c r="AT34" i="8"/>
  <c r="AU34" i="8"/>
  <c r="AV34" i="8"/>
  <c r="AW34" i="8"/>
  <c r="AX34" i="8"/>
  <c r="AJ34" i="8"/>
  <c r="AY35" i="8"/>
  <c r="M35" i="8"/>
  <c r="N35" i="8"/>
  <c r="O35" i="8"/>
  <c r="P35" i="8"/>
  <c r="AU39" i="8"/>
  <c r="AV39" i="8"/>
  <c r="AW39" i="8"/>
  <c r="AX39" i="8"/>
  <c r="AY39" i="8"/>
  <c r="P40" i="8"/>
  <c r="AR40" i="8"/>
  <c r="O40" i="8"/>
  <c r="M40" i="8"/>
  <c r="Q40" i="8"/>
  <c r="R40" i="8"/>
  <c r="S40" i="8"/>
  <c r="T40" i="8"/>
  <c r="U40" i="8"/>
  <c r="V40" i="8"/>
  <c r="W40" i="8"/>
  <c r="X40" i="8"/>
  <c r="Y40" i="8"/>
  <c r="Z40" i="8"/>
  <c r="AA40" i="8"/>
  <c r="AB40" i="8"/>
  <c r="AC40" i="8"/>
  <c r="AD40" i="8"/>
  <c r="AE40" i="8"/>
  <c r="AF40" i="8"/>
  <c r="AG40" i="8"/>
  <c r="AH40" i="8"/>
  <c r="AI40" i="8"/>
  <c r="AJ40" i="8"/>
  <c r="AK40" i="8"/>
  <c r="AL40" i="8"/>
  <c r="AM40" i="8"/>
  <c r="AN40" i="8"/>
  <c r="AO40" i="8"/>
  <c r="AP40" i="8"/>
  <c r="AQ40" i="8"/>
  <c r="N40" i="8"/>
  <c r="Y14" i="8"/>
  <c r="Z14" i="8"/>
  <c r="AF19" i="8"/>
  <c r="AG19" i="8"/>
  <c r="AH19" i="8"/>
  <c r="AL24" i="8"/>
  <c r="AM24" i="8"/>
  <c r="AN24" i="8"/>
  <c r="AO24" i="8"/>
  <c r="AP24" i="8"/>
  <c r="AQ24" i="8"/>
  <c r="AR24" i="8"/>
  <c r="AS24" i="8"/>
  <c r="AT24" i="8"/>
  <c r="AU24" i="8"/>
  <c r="AV24" i="8"/>
  <c r="AW24" i="8"/>
  <c r="AX24" i="8"/>
  <c r="AT31" i="8"/>
  <c r="AS31" i="8"/>
  <c r="AR31" i="8"/>
  <c r="AU31" i="8"/>
  <c r="AV31" i="8"/>
  <c r="M36" i="8"/>
  <c r="N36" i="8"/>
  <c r="O36" i="8"/>
  <c r="P36" i="8"/>
  <c r="Q36" i="8"/>
  <c r="R36" i="8"/>
  <c r="S36" i="8"/>
  <c r="T36" i="8"/>
  <c r="U36" i="8"/>
  <c r="V36" i="8"/>
  <c r="W36" i="8"/>
  <c r="X36" i="8"/>
  <c r="Y36" i="8"/>
  <c r="Z36" i="8"/>
  <c r="AA36" i="8"/>
  <c r="AB36" i="8"/>
  <c r="AC36" i="8"/>
  <c r="AD36" i="8"/>
  <c r="AA41" i="8"/>
  <c r="AY41" i="8"/>
  <c r="T41" i="8"/>
  <c r="U41" i="8"/>
  <c r="V41" i="8"/>
  <c r="W41" i="8"/>
  <c r="X41" i="8"/>
  <c r="Y41" i="8"/>
  <c r="Z41" i="8"/>
  <c r="R41" i="8"/>
  <c r="AB41" i="8"/>
  <c r="AC41" i="8"/>
  <c r="AD41" i="8"/>
  <c r="AE41" i="8"/>
  <c r="AF41" i="8"/>
  <c r="AG41" i="8"/>
  <c r="AH41" i="8"/>
  <c r="AI41" i="8"/>
  <c r="AJ41" i="8"/>
  <c r="AK41" i="8"/>
  <c r="AL41" i="8"/>
  <c r="AM41" i="8"/>
  <c r="AN41" i="8"/>
  <c r="AO41" i="8"/>
  <c r="AP41" i="8"/>
  <c r="AQ41" i="8"/>
  <c r="AR41" i="8"/>
  <c r="AS41" i="8"/>
  <c r="AT41" i="8"/>
  <c r="AU41" i="8"/>
  <c r="AV41" i="8"/>
  <c r="AW41" i="8"/>
  <c r="AX41" i="8"/>
  <c r="S41" i="8"/>
  <c r="M42" i="8"/>
  <c r="N42" i="8"/>
  <c r="O42" i="8"/>
  <c r="P42" i="8"/>
  <c r="Q42" i="8"/>
  <c r="R42" i="8"/>
  <c r="S42" i="8"/>
  <c r="T42" i="8"/>
  <c r="U42" i="8"/>
  <c r="V42" i="8"/>
  <c r="W42" i="8"/>
  <c r="X42" i="8"/>
  <c r="Y42" i="8"/>
  <c r="Z42" i="8"/>
  <c r="AA42" i="8"/>
  <c r="AB42" i="8"/>
  <c r="AC42" i="8"/>
  <c r="AD42" i="8"/>
  <c r="AE42" i="8"/>
  <c r="AF42" i="8"/>
  <c r="AG42" i="8"/>
  <c r="AH42" i="8"/>
  <c r="AI42" i="8"/>
  <c r="AJ42" i="8"/>
  <c r="AK42" i="8"/>
  <c r="AL42" i="8"/>
  <c r="AM42" i="8"/>
  <c r="AN42" i="8"/>
  <c r="W3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Jovan Rajapakse</author>
  </authors>
  <commentList>
    <comment ref="G7" authorId="0" shapeId="0" xr:uid="{DF60E78E-217E-5043-BE2F-FD10E1DA44F3}">
      <text>
        <r>
          <rPr>
            <b/>
            <sz val="10"/>
            <color rgb="FF000000"/>
            <rFont val="Tahoma"/>
            <family val="2"/>
          </rPr>
          <t>Source: Jira RACKAI-204, https://rackspace.atlassian.net/browse/RACKAI-204. Jira status: "Closed" (Done category). Synced 2026-08-21. Updated from "In Progress".</t>
        </r>
      </text>
    </comment>
    <comment ref="K7" authorId="0" shapeId="0" xr:uid="{BC86615A-F7F3-9A44-8616-21B9262F1FE5}">
      <text>
        <r>
          <rPr>
            <b/>
            <sz val="10"/>
            <color rgb="FF000000"/>
            <rFont val="Tahoma"/>
            <family val="2"/>
          </rPr>
          <t>Jovan Rajapakse:</t>
        </r>
        <r>
          <rPr>
            <sz val="10"/>
            <color rgb="FF000000"/>
            <rFont val="Tahoma"/>
            <family val="2"/>
          </rPr>
          <t xml:space="preserve">
Jira RACKAI-204 has no Start date or Due date set — this is the project-plan schedule, not a Jira value. Checked 2026-08-04.</t>
        </r>
      </text>
    </comment>
    <comment ref="G8" authorId="0" shapeId="0" xr:uid="{C937E728-2B98-D74D-B370-21E5B23E7A81}">
      <text>
        <r>
          <rPr>
            <b/>
            <sz val="10"/>
            <color rgb="FF000000"/>
            <rFont val="Tahoma"/>
            <family val="2"/>
          </rPr>
          <t>Source: Jira RACKAI-333, https://rackspace.atlassian.net/browse/RACKAI-333. Jira status: "Closed" (Done category). Synced 2026-08-21. Updated from "In Progress".</t>
        </r>
      </text>
    </comment>
    <comment ref="K8" authorId="0" shapeId="0" xr:uid="{A33D6C7F-405C-7C4C-B07D-780BC73461C0}">
      <text>
        <r>
          <rPr>
            <b/>
            <sz val="10"/>
            <color rgb="FF000000"/>
            <rFont val="Tahoma"/>
            <family val="2"/>
          </rPr>
          <t>Jovan Rajapakse:</t>
        </r>
        <r>
          <rPr>
            <sz val="10"/>
            <color rgb="FF000000"/>
            <rFont val="Tahoma"/>
            <family val="2"/>
          </rPr>
          <t xml:space="preserve">
</t>
        </r>
        <r>
          <rPr>
            <sz val="10"/>
            <color rgb="FF000000"/>
            <rFont val="Tahoma"/>
            <family val="2"/>
          </rPr>
          <t>Jira RACKAI-333 has no Start date or Due date set — this is the project-plan schedule, not a Jira value. Checked 2026-08-04.</t>
        </r>
      </text>
    </comment>
    <comment ref="G9" authorId="0" shapeId="0" xr:uid="{1CCF7CD9-103D-2C41-90C4-5091AC3CCA30}">
      <text>
        <r>
          <rPr>
            <b/>
            <sz val="10"/>
            <color rgb="FF000000"/>
            <rFont val="Tahoma"/>
            <family val="2"/>
          </rPr>
          <t>Source: Jira RACKAI-351, https://rackspace.atlassian.net/browse/RACKAI-351. Jira status: "Closed" (Done category). Synced 2026-08-21. Matches sheet.</t>
        </r>
      </text>
    </comment>
    <comment ref="K9" authorId="0" shapeId="0" xr:uid="{8DB14ED3-A955-A049-B555-66C54EBFD448}">
      <text>
        <r>
          <rPr>
            <b/>
            <sz val="10"/>
            <color rgb="FF000000"/>
            <rFont val="Tahoma"/>
            <family val="2"/>
          </rPr>
          <t>Jovan Rajapakse:</t>
        </r>
        <r>
          <rPr>
            <sz val="10"/>
            <color rgb="FF000000"/>
            <rFont val="Tahoma"/>
            <family val="2"/>
          </rPr>
          <t xml:space="preserve">
Jira RACKAI-351 has no Start date or Due date set — this is the project-plan schedule, not a Jira value. Checked 2026-08-04.</t>
        </r>
      </text>
    </comment>
    <comment ref="G11" authorId="0" shapeId="0" xr:uid="{C02D52AD-85DC-5F40-ABA0-E7F6E5EDF3BD}">
      <text>
        <r>
          <rPr>
            <b/>
            <sz val="10"/>
            <color rgb="FF000000"/>
            <rFont val="Tahoma"/>
            <family val="2"/>
          </rPr>
          <t>Source: Jira RACKAI-353, https://rackspace.atlassian.net/browse/RACKAI-353. Jira status: "In Analysis" (In Progress category). Synced 2026-08-21. Matches sheet.</t>
        </r>
      </text>
    </comment>
    <comment ref="K11" authorId="0" shapeId="0" xr:uid="{7C9B9278-8BC0-2044-93ED-78A2B9A481ED}">
      <text>
        <r>
          <rPr>
            <b/>
            <sz val="10"/>
            <color rgb="FF000000"/>
            <rFont val="Tahoma"/>
            <family val="2"/>
          </rPr>
          <t>Jovan Rajapakse:</t>
        </r>
        <r>
          <rPr>
            <sz val="10"/>
            <color rgb="FF000000"/>
            <rFont val="Tahoma"/>
            <family val="2"/>
          </rPr>
          <t xml:space="preserve">
Jira RACKAI-353 has no Start date or Due date set — this is the project-plan schedule, not a Jira value. Checked 2026-08-04.</t>
        </r>
      </text>
    </comment>
    <comment ref="G12" authorId="0" shapeId="0" xr:uid="{FFD6EA1B-E7F1-2946-B058-32C0800B853C}">
      <text>
        <r>
          <rPr>
            <b/>
            <sz val="10"/>
            <color rgb="FF000000"/>
            <rFont val="Tahoma"/>
            <family val="2"/>
          </rPr>
          <t>Source: Jira RACKAI-350, https://rackspace.atlassian.net/browse/RACKAI-350. Jira status: "In Analysis" (In Progress category). Synced 2026-08-21. Matches sheet.</t>
        </r>
      </text>
    </comment>
    <comment ref="K12" authorId="0" shapeId="0" xr:uid="{FE1EEFD1-7F11-5448-8897-DC4E37153035}">
      <text>
        <r>
          <rPr>
            <b/>
            <sz val="10"/>
            <color rgb="FF000000"/>
            <rFont val="Tahoma"/>
            <family val="2"/>
          </rPr>
          <t>Jovan Rajapakse:</t>
        </r>
        <r>
          <rPr>
            <sz val="10"/>
            <color rgb="FF000000"/>
            <rFont val="Tahoma"/>
            <family val="2"/>
          </rPr>
          <t xml:space="preserve">
Jira RACKAI-350 has no Start date or Due date set — this is the project-plan schedule, not a Jira value. Checked 2026-08-04.</t>
        </r>
      </text>
    </comment>
    <comment ref="G13" authorId="0" shapeId="0" xr:uid="{F8DB3E83-A1A1-934F-B155-146B732028F2}">
      <text>
        <r>
          <rPr>
            <b/>
            <sz val="10"/>
            <color rgb="FF000000"/>
            <rFont val="Tahoma"/>
            <family val="2"/>
          </rPr>
          <t>Jovan Rajapakse:</t>
        </r>
        <r>
          <rPr>
            <sz val="10"/>
            <color rgb="FF000000"/>
            <rFont val="Tahoma"/>
            <family val="2"/>
          </rPr>
          <t xml:space="preserve">
</t>
        </r>
        <r>
          <rPr>
            <sz val="10"/>
            <color rgb="FF000000"/>
            <rFont val="Tahoma"/>
            <family val="2"/>
          </rPr>
          <t>Source: Jira RACKAI-431, https://rackspace.atlassian.net/browse/RACKAI-431. Jira status: "In Analysis" (In Progress category). Synced 2026-08-21. Updated from "Not Started".</t>
        </r>
      </text>
    </comment>
    <comment ref="G14" authorId="0" shapeId="0" xr:uid="{C89A87B4-705B-4347-8995-49B1419FDCB9}">
      <text>
        <r>
          <rPr>
            <b/>
            <sz val="10"/>
            <color rgb="FF000000"/>
            <rFont val="Tahoma"/>
            <family val="2"/>
          </rPr>
          <t>Jovan Rajapakse:</t>
        </r>
        <r>
          <rPr>
            <sz val="10"/>
            <color rgb="FF000000"/>
            <rFont val="Tahoma"/>
            <family val="2"/>
          </rPr>
          <t xml:space="preserve">
</t>
        </r>
        <r>
          <rPr>
            <sz val="10"/>
            <color rgb="FF000000"/>
            <rFont val="Tahoma"/>
            <family val="2"/>
          </rPr>
          <t>Source: Jira RACKAI-432, https://rackspace.atlassian.net/browse/RACKAI-432. Jira status: "In Analysis" (In Progress category). Synced 2026-08-21. Updated from "Not Started".</t>
        </r>
      </text>
    </comment>
    <comment ref="G15" authorId="0" shapeId="0" xr:uid="{CB5F3458-DFFF-7142-9AAD-80BAE0CEF235}">
      <text>
        <r>
          <rPr>
            <b/>
            <sz val="10"/>
            <color rgb="FF000000"/>
            <rFont val="Tahoma"/>
            <family val="2"/>
          </rPr>
          <t>Source: Jira RACKAI-352, https://rackspace.atlassian.net/browse/RACKAI-352. Jira status: "In Analysis" (In Progress category). Synced 2026-08-21. Matches sheet.</t>
        </r>
      </text>
    </comment>
    <comment ref="K15" authorId="0" shapeId="0" xr:uid="{35FB1923-B97D-7543-90EC-BBC9CFA4BC71}">
      <text>
        <r>
          <rPr>
            <b/>
            <sz val="10"/>
            <color rgb="FF000000"/>
            <rFont val="Tahoma"/>
            <family val="2"/>
          </rPr>
          <t>Jovan Rajapakse:</t>
        </r>
        <r>
          <rPr>
            <sz val="10"/>
            <color rgb="FF000000"/>
            <rFont val="Tahoma"/>
            <family val="2"/>
          </rPr>
          <t xml:space="preserve">
</t>
        </r>
        <r>
          <rPr>
            <sz val="10"/>
            <color rgb="FF000000"/>
            <rFont val="Tahoma"/>
            <family val="2"/>
          </rPr>
          <t>Jira RACKAI-352 has no Start date or Due date set — this is the project-plan schedule, not a Jira value. Checked 2026-08-04.</t>
        </r>
      </text>
    </comment>
    <comment ref="G26" authorId="0" shapeId="0" xr:uid="{6147AAB6-DCDD-3F4B-8071-A92169D57164}">
      <text>
        <r>
          <rPr>
            <b/>
            <sz val="10"/>
            <color rgb="FF000000"/>
            <rFont val="Tahoma"/>
            <family val="2"/>
          </rPr>
          <t>Jovan Rajapakse:</t>
        </r>
        <r>
          <rPr>
            <sz val="10"/>
            <color rgb="FF000000"/>
            <rFont val="Tahoma"/>
            <family val="2"/>
          </rPr>
          <t xml:space="preserve">
Source: Jira RACKAI-311, https://rackspace.atlassian.net/browse/RACKAI-311. Jira status: "In Progress" (In Progress category). Synced 2026-08-21. Matches sheet.</t>
        </r>
      </text>
    </comment>
    <comment ref="F27" authorId="0" shapeId="0" xr:uid="{6ADC1F97-090C-6343-B852-F70D53DF5B4C}">
      <text>
        <r>
          <rPr>
            <b/>
            <sz val="10"/>
            <color rgb="FF000000"/>
            <rFont val="Tahoma"/>
            <family val="2"/>
          </rPr>
          <t>Jovan Rajapakse:</t>
        </r>
        <r>
          <rPr>
            <sz val="10"/>
            <color rgb="FF000000"/>
            <rFont val="Tahoma"/>
            <family val="2"/>
          </rPr>
          <t xml:space="preserve">
Source: Jira RACKAI-263, https://rackspace.atlassian.net/browse/RACKAI-263. Assignee synced 2026-08-21. Updated from "Unassigned".</t>
        </r>
      </text>
    </comment>
    <comment ref="G27" authorId="0" shapeId="0" xr:uid="{D24475B7-1A78-8848-9A0C-710164918FE9}">
      <text>
        <r>
          <rPr>
            <b/>
            <sz val="10"/>
            <color rgb="FF000000"/>
            <rFont val="Tahoma"/>
            <family val="2"/>
          </rPr>
          <t>Source: Jira RACKAI-263, https://rackspace.atlassian.net/browse/RACKAI-263. Jira status: "New" (To Do category). Synced 2026-08-21. Corrected from "In Progress" (prior sync mis-mapped this issue's status).</t>
        </r>
      </text>
    </comment>
    <comment ref="G28" authorId="0" shapeId="0" xr:uid="{0A8FFB48-CBA5-034C-978C-BFA6B1F6DAB9}">
      <text>
        <r>
          <rPr>
            <b/>
            <sz val="10"/>
            <color rgb="FF000000"/>
            <rFont val="Tahoma"/>
            <family val="2"/>
          </rPr>
          <t>Jovan Rajapakse:</t>
        </r>
        <r>
          <rPr>
            <sz val="10"/>
            <color rgb="FF000000"/>
            <rFont val="Tahoma"/>
            <family val="2"/>
          </rPr>
          <t xml:space="preserve">
Source: Jira RACKAI-261, https://rackspace.atlassian.net/browse/RACKAI-261. Jira status: "Closed" (Done category). Synced 2026-08-21. Updated from "In Progress".</t>
        </r>
      </text>
    </comment>
    <comment ref="G29" authorId="0" shapeId="0" xr:uid="{F3F6B247-B831-0047-B18D-2D8967D963CF}">
      <text>
        <r>
          <rPr>
            <b/>
            <sz val="10"/>
            <color rgb="FF000000"/>
            <rFont val="Tahoma"/>
            <family val="2"/>
          </rPr>
          <t>Source: Jira RACKAI-258, https://rackspace.atlassian.net/browse/RACKAI-258. Jira status: "Closed" (Done category). Synced 2026-08-21. Updated from "In Progress".</t>
        </r>
      </text>
    </comment>
    <comment ref="G30" authorId="0" shapeId="0" xr:uid="{5AB69E60-1525-FD4F-997B-08DE81B5A9CC}">
      <text>
        <r>
          <rPr>
            <b/>
            <sz val="10"/>
            <color rgb="FF000000"/>
            <rFont val="Tahoma"/>
            <family val="2"/>
          </rPr>
          <t>Jovan Rajapakse:</t>
        </r>
        <r>
          <rPr>
            <sz val="10"/>
            <color rgb="FF000000"/>
            <rFont val="Tahoma"/>
            <family val="2"/>
          </rPr>
          <t xml:space="preserve">
Source: Jira RACKAI-269, https://rackspace.atlassian.net/browse/RACKAI-269. Jira status: "New" (To Do category). Synced 2026-08-21. Updated from "In Progress".</t>
        </r>
      </text>
    </comment>
    <comment ref="G31" authorId="0" shapeId="0" xr:uid="{D4AA9E5A-51CC-3C41-8D75-62C10AA036E7}">
      <text>
        <r>
          <rPr>
            <b/>
            <sz val="10"/>
            <color rgb="FF000000"/>
            <rFont val="Tahoma"/>
            <family val="2"/>
          </rPr>
          <t>Source: Jira RACKAI-340, https://rackspace.atlassian.net/browse/RACKAI-340. Jira status: "Closed" (Done category). Synced 2026-08-21. Updated from "In Progress".</t>
        </r>
      </text>
    </comment>
    <comment ref="G32" authorId="0" shapeId="0" xr:uid="{7047DF90-D669-B741-909E-41A83E8479C7}">
      <text>
        <r>
          <rPr>
            <b/>
            <sz val="10"/>
            <color rgb="FF000000"/>
            <rFont val="Tahoma"/>
            <family val="2"/>
          </rPr>
          <t>Jovan Rajapakse:</t>
        </r>
        <r>
          <rPr>
            <sz val="10"/>
            <color rgb="FF000000"/>
            <rFont val="Tahoma"/>
            <family val="2"/>
          </rPr>
          <t xml:space="preserve">
Source: Jira RACKAI-336, https://rackspace.atlassian.net/browse/RACKAI-336. Jira status: "Closed" (Done category). Synced 2026-08-21. Updated from "Not Started".</t>
        </r>
      </text>
    </comment>
    <comment ref="F33" authorId="0" shapeId="0" xr:uid="{A49F4D24-750A-9B49-88EA-6AA7CBD8D573}">
      <text>
        <r>
          <rPr>
            <b/>
            <sz val="10"/>
            <color rgb="FF000000"/>
            <rFont val="Tahoma"/>
            <family val="2"/>
          </rPr>
          <t>Jovan Rajapakse:</t>
        </r>
        <r>
          <rPr>
            <sz val="10"/>
            <color rgb="FF000000"/>
            <rFont val="Tahoma"/>
            <family val="2"/>
          </rPr>
          <t xml:space="preserve">
Source: Jira RACKAI-347, https://rackspace.atlassian.net/browse/RACKAI-347. Assignee synced 2026-08-21. Updated from "Unassigned".</t>
        </r>
      </text>
    </comment>
    <comment ref="G33" authorId="0" shapeId="0" xr:uid="{3F86472A-E195-6744-8874-F4A2288824CA}">
      <text>
        <r>
          <rPr>
            <b/>
            <sz val="10"/>
            <color rgb="FF000000"/>
            <rFont val="Tahoma"/>
            <family val="2"/>
          </rPr>
          <t>Jovan Rajapakse:</t>
        </r>
        <r>
          <rPr>
            <sz val="10"/>
            <color rgb="FF000000"/>
            <rFont val="Tahoma"/>
            <family val="2"/>
          </rPr>
          <t xml:space="preserve">
Source: Jira RACKAI-347, https://rackspace.atlassian.net/browse/RACKAI-347. Jira status: "In Analysis" (In Progress category). Synced 2026-08-21. Updated from "Not Started".</t>
        </r>
      </text>
    </comment>
    <comment ref="G34" authorId="0" shapeId="0" xr:uid="{8EA1F869-D2E6-544C-9246-FAC7C8FC7CB3}">
      <text>
        <r>
          <rPr>
            <b/>
            <sz val="10"/>
            <color rgb="FF000000"/>
            <rFont val="Tahoma"/>
            <family val="2"/>
          </rPr>
          <t>Jovan Rajapakse:</t>
        </r>
        <r>
          <rPr>
            <sz val="10"/>
            <color rgb="FF000000"/>
            <rFont val="Tahoma"/>
            <family val="2"/>
          </rPr>
          <t xml:space="preserve">
Source: Jira RACKAI-67, https://rackspace.atlassian.net/browse/RACKAI-67. Jira status: "In Analysis" (In Progress category). Synced 2026-08-21. Updated from "Not Started".</t>
        </r>
      </text>
    </comment>
    <comment ref="G35" authorId="0" shapeId="0" xr:uid="{25F312DF-AEC8-D243-93A1-640F757785D2}">
      <text>
        <r>
          <rPr>
            <b/>
            <sz val="10"/>
            <color rgb="FF000000"/>
            <rFont val="Tahoma"/>
            <family val="2"/>
          </rPr>
          <t>Jovan Rajapakse:</t>
        </r>
        <r>
          <rPr>
            <sz val="10"/>
            <color rgb="FF000000"/>
            <rFont val="Tahoma"/>
            <family val="2"/>
          </rPr>
          <t xml:space="preserve">
Source: Jira RACKAI-252, https://rackspace.atlassian.net/browse/RACKAI-252. Jira status: "In Progress" (In Progress category). Synced 2026-08-21. Updated from "Not Started".</t>
        </r>
      </text>
    </comment>
    <comment ref="G36" authorId="0" shapeId="0" xr:uid="{A114CF4E-7B8C-9341-8B0F-C78AE1F9FE22}">
      <text>
        <r>
          <rPr>
            <b/>
            <sz val="10"/>
            <color rgb="FF000000"/>
            <rFont val="Tahoma"/>
            <family val="2"/>
          </rPr>
          <t>Jovan Rajapakse:</t>
        </r>
        <r>
          <rPr>
            <sz val="10"/>
            <color rgb="FF000000"/>
            <rFont val="Tahoma"/>
            <family val="2"/>
          </rPr>
          <t xml:space="preserve">
Source: Jira RACKAI-360, https://rackspace.atlassian.net/browse/RACKAI-360. Jira status: "New" (To Do category). Synced 2026-08-21. Matches sheet.</t>
        </r>
      </text>
    </comment>
    <comment ref="G37" authorId="0" shapeId="0" xr:uid="{359CC52F-85A4-FF49-B923-32CA184E6C16}">
      <text>
        <r>
          <rPr>
            <b/>
            <sz val="10"/>
            <color rgb="FF000000"/>
            <rFont val="Tahoma"/>
            <family val="2"/>
          </rPr>
          <t>Jovan Rajapakse:</t>
        </r>
        <r>
          <rPr>
            <sz val="10"/>
            <color rgb="FF000000"/>
            <rFont val="Tahoma"/>
            <family val="2"/>
          </rPr>
          <t xml:space="preserve">
Source: Jira RACKAI-374, https://rackspace.atlassian.net/browse/RACKAI-374. Jira status: "In Analysis" (In Progress category). Synced 2026-08-21. Updated from "Not Started".</t>
        </r>
      </text>
    </comment>
    <comment ref="G38" authorId="0" shapeId="0" xr:uid="{19CCDB08-45AA-D542-A06D-42644F957E3D}">
      <text>
        <r>
          <rPr>
            <b/>
            <sz val="10"/>
            <color rgb="FF000000"/>
            <rFont val="Tahoma"/>
            <family val="2"/>
          </rPr>
          <t>Jovan Rajapakse:</t>
        </r>
        <r>
          <rPr>
            <sz val="10"/>
            <color rgb="FF000000"/>
            <rFont val="Tahoma"/>
            <family val="2"/>
          </rPr>
          <t xml:space="preserve">
Source: Jira RACKAI-385, https://rackspace.atlassian.net/browse/RACKAI-385. Jira status: "In Analysis" (In Progress category). Synced 2026-08-21. Updated from "Not Started".</t>
        </r>
      </text>
    </comment>
    <comment ref="G39" authorId="0" shapeId="0" xr:uid="{195B2824-09E3-5643-B6F5-7711D5922C42}">
      <text>
        <r>
          <rPr>
            <b/>
            <sz val="10"/>
            <color rgb="FF000000"/>
            <rFont val="Tahoma"/>
            <family val="2"/>
          </rPr>
          <t>Jovan Rajapakse:</t>
        </r>
        <r>
          <rPr>
            <sz val="10"/>
            <color rgb="FF000000"/>
            <rFont val="Tahoma"/>
            <family val="2"/>
          </rPr>
          <t xml:space="preserve">
Source: Jira RACKAI-380, https://rackspace.atlassian.net/browse/RACKAI-380. Jira status: "In Analysis" (In Progress category). Synced 2026-08-21. Updated from "Not Started".</t>
        </r>
      </text>
    </comment>
    <comment ref="G43" authorId="0" shapeId="0" xr:uid="{A4A149EE-FC6A-F54C-8B50-9A07D31C89B4}">
      <text>
        <r>
          <rPr>
            <b/>
            <sz val="10"/>
            <color rgb="FF000000"/>
            <rFont val="Tahoma"/>
            <family val="2"/>
          </rPr>
          <t>Jovan Rajapakse:</t>
        </r>
        <r>
          <rPr>
            <sz val="10"/>
            <color rgb="FF000000"/>
            <rFont val="Tahoma"/>
            <family val="2"/>
          </rPr>
          <t xml:space="preserve">
Source: Jira RACKAI-357, https://rackspace.atlassian.net/browse/RACKAI-357. Jira status: "New" (To Do category). Synced 2026-08-21. Updated from "In Progress".</t>
        </r>
      </text>
    </comment>
    <comment ref="G44" authorId="0" shapeId="0" xr:uid="{C50D3440-CE84-314C-8DCC-0FB93699D6D3}">
      <text>
        <r>
          <rPr>
            <b/>
            <sz val="10"/>
            <color rgb="FF000000"/>
            <rFont val="Tahoma"/>
            <family val="2"/>
          </rPr>
          <t>Jovan Rajapakse:</t>
        </r>
        <r>
          <rPr>
            <sz val="10"/>
            <color rgb="FF000000"/>
            <rFont val="Tahoma"/>
            <family val="2"/>
          </rPr>
          <t xml:space="preserve">
Source: Jira RACKAI-358, https://rackspace.atlassian.net/browse/RACKAI-358. Jira status: "New" (To Do category). Synced 2026-08-21. Matches sheet.</t>
        </r>
      </text>
    </comment>
    <comment ref="G45" authorId="0" shapeId="0" xr:uid="{36BEC174-D2C1-F247-8AAB-3E70E513627C}">
      <text>
        <r>
          <rPr>
            <b/>
            <sz val="10"/>
            <color rgb="FF000000"/>
            <rFont val="Tahoma"/>
            <family val="2"/>
          </rPr>
          <t>Jovan Rajapakse:</t>
        </r>
        <r>
          <rPr>
            <sz val="10"/>
            <color rgb="FF000000"/>
            <rFont val="Tahoma"/>
            <family val="2"/>
          </rPr>
          <t xml:space="preserve">
Source: Jira RACKAI-359, https://rackspace.atlassian.net/browse/RACKAI-359. Jira status: "New" (To Do category). Synced 2026-08-21. Matches sheet.</t>
        </r>
      </text>
    </comment>
    <comment ref="G46" authorId="0" shapeId="0" xr:uid="{47C054B0-F637-B148-9A5F-77C6D50862C1}">
      <text>
        <r>
          <rPr>
            <b/>
            <sz val="10"/>
            <color rgb="FF000000"/>
            <rFont val="Tahoma"/>
            <family val="2"/>
          </rPr>
          <t>Source: Jira RACKAI-224, https://rackspace.atlassian.net/browse/RACKAI-224. Jira status: "In Progress" (In Progress category). Synced 2026-08-21. Matches sheet.</t>
        </r>
      </text>
    </comment>
    <comment ref="K46" authorId="0" shapeId="0" xr:uid="{E0AB1683-356E-BB4E-A4B7-4D0560B09F42}">
      <text>
        <r>
          <rPr>
            <b/>
            <sz val="10"/>
            <color rgb="FF000000"/>
            <rFont val="Tahoma"/>
            <family val="2"/>
          </rPr>
          <t>Jovan Rajapakse:</t>
        </r>
        <r>
          <rPr>
            <sz val="10"/>
            <color rgb="FF000000"/>
            <rFont val="Tahoma"/>
            <family val="2"/>
          </rPr>
          <t xml:space="preserve">
Jira RACKAI-224 has no Start date or Due date set — this is the project-plan schedule, not a Jira value. Checked 2026-08-04.</t>
        </r>
      </text>
    </comment>
    <comment ref="F47" authorId="0" shapeId="0" xr:uid="{571DE6A8-EBB4-5A4B-8B42-0B9B053834E6}">
      <text>
        <r>
          <rPr>
            <b/>
            <sz val="10"/>
            <color rgb="FF000000"/>
            <rFont val="Tahoma"/>
            <family val="2"/>
          </rPr>
          <t>Jovan Rajapakse:</t>
        </r>
        <r>
          <rPr>
            <sz val="10"/>
            <color rgb="FF000000"/>
            <rFont val="Tahoma"/>
            <family val="2"/>
          </rPr>
          <t xml:space="preserve">
Source: Jira RACKAI-354, https://rackspace.atlassian.net/browse/RACKAI-354. Assignee synced 2026-08-21. Updated from "Unassigned".</t>
        </r>
      </text>
    </comment>
    <comment ref="G47" authorId="0" shapeId="0" xr:uid="{17308827-1FE3-1E4B-91BD-A8458763BEB8}">
      <text>
        <r>
          <rPr>
            <b/>
            <sz val="10"/>
            <color rgb="FF000000"/>
            <rFont val="Tahoma"/>
            <family val="2"/>
          </rPr>
          <t>Jovan Rajapakse:</t>
        </r>
        <r>
          <rPr>
            <sz val="10"/>
            <color rgb="FF000000"/>
            <rFont val="Tahoma"/>
            <family val="2"/>
          </rPr>
          <t xml:space="preserve">
Source: Jira RACKAI-354, https://rackspace.atlassian.net/browse/RACKAI-354. Jira status: "In Analysis" (In Progress category). Synced 2026-08-21. Updated from "Not Started".</t>
        </r>
      </text>
    </comment>
    <comment ref="G48" authorId="0" shapeId="0" xr:uid="{AED97D67-E3AC-D74E-963C-E06329541E01}">
      <text>
        <r>
          <rPr>
            <b/>
            <sz val="10"/>
            <color rgb="FF000000"/>
            <rFont val="Tahoma"/>
            <family val="2"/>
          </rPr>
          <t>Jovan Rajapakse:</t>
        </r>
        <r>
          <rPr>
            <sz val="10"/>
            <color rgb="FF000000"/>
            <rFont val="Tahoma"/>
            <family val="2"/>
          </rPr>
          <t xml:space="preserve">
Source: Jira RACKAI-379, https://rackspace.atlassian.net/browse/RACKAI-379. Jira status: "New" (To Do category). Synced 2026-08-21. Matches sheet.</t>
        </r>
      </text>
    </comment>
    <comment ref="G49" authorId="0" shapeId="0" xr:uid="{468AC574-25C7-054D-890C-38D9687788CF}">
      <text>
        <r>
          <rPr>
            <b/>
            <sz val="10"/>
            <color rgb="FF000000"/>
            <rFont val="Tahoma"/>
            <family val="2"/>
          </rPr>
          <t>Jovan Rajapakse:</t>
        </r>
        <r>
          <rPr>
            <sz val="10"/>
            <color rgb="FF000000"/>
            <rFont val="Tahoma"/>
            <family val="2"/>
          </rPr>
          <t xml:space="preserve">
Source: Jira RACKAI-382, https://rackspace.atlassian.net/browse/RACKAI-382. Jira status: "In Analysis" (In Progress category). Synced 2026-08-21. Updated from "Not Started".</t>
        </r>
      </text>
    </comment>
  </commentList>
</comments>
</file>

<file path=xl/sharedStrings.xml><?xml version="1.0" encoding="utf-8"?>
<sst xmlns="http://schemas.openxmlformats.org/spreadsheetml/2006/main" count="743" uniqueCount="378">
  <si>
    <t>Feature</t>
  </si>
  <si>
    <t>Task</t>
  </si>
  <si>
    <t>Milestone</t>
  </si>
  <si>
    <t>Priority</t>
  </si>
  <si>
    <t>Start Date</t>
  </si>
  <si>
    <t>End Date</t>
  </si>
  <si>
    <t>Status</t>
  </si>
  <si>
    <t>Owner</t>
  </si>
  <si>
    <t>Comments</t>
  </si>
  <si>
    <t>Inference APIs</t>
  </si>
  <si>
    <t>Standardize API to Rackspace product name qualifier</t>
  </si>
  <si>
    <t>MVP</t>
  </si>
  <si>
    <t>P0</t>
  </si>
  <si>
    <t>Completed</t>
  </si>
  <si>
    <t>Neelava</t>
  </si>
  <si>
    <r>
      <t xml:space="preserve">Current name - aurora.platform9.com
New name - </t>
    </r>
    <r>
      <rPr>
        <u/>
        <sz val="10"/>
        <color rgb="FF1155CC"/>
        <rFont val="Arial"/>
        <family val="2"/>
      </rPr>
      <t>rmpai.rackspace.com</t>
    </r>
    <r>
      <rPr>
        <sz val="10"/>
        <color rgb="FF000000"/>
        <rFont val="Arial"/>
        <family val="2"/>
        <scheme val="minor"/>
      </rPr>
      <t xml:space="preserve">. 
Alternate name -
     - </t>
    </r>
    <r>
      <rPr>
        <u/>
        <sz val="10"/>
        <color rgb="FF1155CC"/>
        <rFont val="Arial"/>
        <family val="2"/>
      </rPr>
      <t xml:space="preserve">rackai.rackspace.com
</t>
    </r>
    <r>
      <rPr>
        <sz val="10"/>
        <color rgb="FF000000"/>
        <rFont val="Arial"/>
        <family val="2"/>
        <scheme val="minor"/>
      </rPr>
      <t xml:space="preserve">     - </t>
    </r>
    <r>
      <rPr>
        <u/>
        <sz val="10"/>
        <color rgb="FF1155CC"/>
        <rFont val="Arial"/>
        <family val="2"/>
      </rPr>
      <t>rai.rackspace.com</t>
    </r>
  </si>
  <si>
    <t>Publish API doc</t>
  </si>
  <si>
    <t>In progress</t>
  </si>
  <si>
    <t>Model Deployment API for Uniphore</t>
  </si>
  <si>
    <t>TBC</t>
  </si>
  <si>
    <t>Not started</t>
  </si>
  <si>
    <t>Assuming that the current APIs we have are sufficient for Uniphore's use case. Need clarification and subsequent task planning if that is not the case.
Pending publication of API docs</t>
  </si>
  <si>
    <t>OpenAI API compatibility for Uniphore</t>
  </si>
  <si>
    <t>Assuming that only the chat completions API is the needed API here. Need clarification and subsequent task planning if that is not the case
Pending publication of API docs</t>
  </si>
  <si>
    <t>Users should be able to get a token to use with the API. Should be automation friendly.</t>
  </si>
  <si>
    <r>
      <rPr>
        <sz val="10"/>
        <color theme="1"/>
        <rFont val="Arial"/>
        <family val="2"/>
      </rPr>
      <t xml:space="preserve">Immediate implementation will be with Auth0. </t>
    </r>
    <r>
      <rPr>
        <sz val="10"/>
        <color rgb="FFCC0000"/>
        <rFont val="Arial"/>
        <family val="2"/>
      </rPr>
      <t>If not, we need to take up the Authentication work items below first.</t>
    </r>
  </si>
  <si>
    <t>UI - Token management</t>
  </si>
  <si>
    <t>Kim</t>
  </si>
  <si>
    <t>Inference optimization</t>
  </si>
  <si>
    <t xml:space="preserve">Utilize Uniphore's optimized NIM models </t>
  </si>
  <si>
    <t>Alberto / Abhimanyu</t>
  </si>
  <si>
    <t>Per Amine, in the initial phase we need to use the optimized NIM models from Uniphore and don't have to take up any extra task. Change in this assumption, will need replanning.
Gemma 27
Mistral 24
GPT-OSS 20
llama 3.1 8b
llama 3.2 11b visual</t>
  </si>
  <si>
    <t>NIM model support</t>
  </si>
  <si>
    <t>Deployment configuration to leverage NIM models or vLLM</t>
  </si>
  <si>
    <t>Ajay</t>
  </si>
  <si>
    <t>Bootstrap product with Uniphore’s NIM models</t>
  </si>
  <si>
    <t>Need to understand where these models are available to use and how to integrate those model locations into the Uniphore deployment</t>
  </si>
  <si>
    <t>Model Deployment implementation for NIM models</t>
  </si>
  <si>
    <t>LORA adapters working with NIM models</t>
  </si>
  <si>
    <t>To be scoped</t>
  </si>
  <si>
    <t xml:space="preserve">Fine Tuning </t>
  </si>
  <si>
    <t>SFT - Dataset management for fine tuning (only file upload)</t>
  </si>
  <si>
    <t>Rohit</t>
  </si>
  <si>
    <t>SFT - Customize fine tuning steps and trigger fine tuning PEFT job (LORA) to generate adapters</t>
  </si>
  <si>
    <t>Rajendra</t>
  </si>
  <si>
    <t xml:space="preserve">Running late, code not checked in yet. But PoC exists. </t>
  </si>
  <si>
    <t>SFT - Training job status reporting</t>
  </si>
  <si>
    <t>SFT - Store/Save LORA adapters for users to use with a model.</t>
  </si>
  <si>
    <t>SFT - Deploy/Undeploy LORA adapters on top of deployed base model</t>
  </si>
  <si>
    <t>SFT - Multi LORA deployments</t>
  </si>
  <si>
    <t>M?</t>
  </si>
  <si>
    <t>Proposal: Move this to post May deliverable</t>
  </si>
  <si>
    <t>SFT - Import/Export of LORA adapters</t>
  </si>
  <si>
    <t>SFT - Deploy on shared inference infrastructure</t>
  </si>
  <si>
    <t>Proposal: Move this to post May deliverable
Need clarification on what shared inference infrastructure means here.</t>
  </si>
  <si>
    <t>UI - Fine tuning workflows</t>
  </si>
  <si>
    <t>Model Registry</t>
  </si>
  <si>
    <t>User should be able to save models to a model registry</t>
  </si>
  <si>
    <t>Does it have to be a self hosted option registry only? Can the first cut be with HF?</t>
  </si>
  <si>
    <t>Model Registry supported out of the box - as part of the RMPAI platform</t>
  </si>
  <si>
    <t>UI - Model Registry workflows</t>
  </si>
  <si>
    <t>Authentication</t>
  </si>
  <si>
    <t>Remove dependency on Auth0</t>
  </si>
  <si>
    <t>M1</t>
  </si>
  <si>
    <t>P1</t>
  </si>
  <si>
    <t>To be scoped - Post May</t>
  </si>
  <si>
    <t>Use Zitadel as the authn replacement</t>
  </si>
  <si>
    <t>Integrate with Rackspace IDP directly, through keycloak if Zitadel doesn’t work out.</t>
  </si>
  <si>
    <t xml:space="preserve">vn
</t>
  </si>
  <si>
    <t>RackAI — Software Delivery Plan</t>
  </si>
  <si>
    <t>CSP Platform Layer on real schedule (Jun 2026 – Feb 2027, per 'CSP Project Plan – FINAL')  +  RackAI M2 Feature Delivery (17 features · 46 man-wks)   —   week-start dates shown; feature bars anchored to first July week</t>
  </si>
  <si>
    <t>Deliverables  ▾</t>
  </si>
  <si>
    <t>Jun '26</t>
  </si>
  <si>
    <t>Jul '26</t>
  </si>
  <si>
    <t>Aug '26</t>
  </si>
  <si>
    <t>Sep '26</t>
  </si>
  <si>
    <t>Oct '26</t>
  </si>
  <si>
    <t>Nov '26</t>
  </si>
  <si>
    <t>Dec '26</t>
  </si>
  <si>
    <t>Jan '27</t>
  </si>
  <si>
    <t>Feb '27</t>
  </si>
  <si>
    <t>Workstream</t>
  </si>
  <si>
    <t>Team / Owner</t>
  </si>
  <si>
    <t>Task / Deliverable</t>
  </si>
  <si>
    <t>M#</t>
  </si>
  <si>
    <t>Jira</t>
  </si>
  <si>
    <t>Pri</t>
  </si>
  <si>
    <t>Effort</t>
  </si>
  <si>
    <t>Start</t>
  </si>
  <si>
    <t>End</t>
  </si>
  <si>
    <t>Key Dependencies</t>
  </si>
  <si>
    <t>6/1</t>
  </si>
  <si>
    <t>6/8</t>
  </si>
  <si>
    <t>6/15</t>
  </si>
  <si>
    <t>6/22</t>
  </si>
  <si>
    <t>6/29</t>
  </si>
  <si>
    <t>7/6</t>
  </si>
  <si>
    <t>7/13</t>
  </si>
  <si>
    <t>7/20</t>
  </si>
  <si>
    <t>7/27</t>
  </si>
  <si>
    <t>8/3</t>
  </si>
  <si>
    <t>8/10</t>
  </si>
  <si>
    <t>8/17</t>
  </si>
  <si>
    <t>8/24</t>
  </si>
  <si>
    <t>8/31</t>
  </si>
  <si>
    <t>9/7</t>
  </si>
  <si>
    <t>9/14</t>
  </si>
  <si>
    <t>9/21</t>
  </si>
  <si>
    <t>9/28</t>
  </si>
  <si>
    <t>10/5</t>
  </si>
  <si>
    <t>10/12</t>
  </si>
  <si>
    <t>10/19</t>
  </si>
  <si>
    <t>10/26</t>
  </si>
  <si>
    <t>11/2</t>
  </si>
  <si>
    <t>11/9</t>
  </si>
  <si>
    <t>11/16</t>
  </si>
  <si>
    <t>11/23</t>
  </si>
  <si>
    <t>11/30</t>
  </si>
  <si>
    <t>12/7</t>
  </si>
  <si>
    <t>12/14</t>
  </si>
  <si>
    <t>12/21</t>
  </si>
  <si>
    <t>12/28</t>
  </si>
  <si>
    <t>1/4</t>
  </si>
  <si>
    <t>1/11</t>
  </si>
  <si>
    <t>1/18</t>
  </si>
  <si>
    <t>1/25</t>
  </si>
  <si>
    <t>2/1</t>
  </si>
  <si>
    <t>2/8</t>
  </si>
  <si>
    <t>2/15</t>
  </si>
  <si>
    <t>2/22</t>
  </si>
  <si>
    <t>CSP PLATFORM LAYER   —   real schedule per 'CSP Project Plan – FINAL' (Identity · Monitoring · Metering · Auditing · Observability)</t>
  </si>
  <si>
    <t>IAC</t>
  </si>
  <si>
    <t>Team IAC</t>
  </si>
  <si>
    <t>JWT + API-key validation, identity context headers, APIKey CRD, Gateway auth</t>
  </si>
  <si>
    <t>RACKAI-204</t>
  </si>
  <si>
    <t>In Progress</t>
  </si>
  <si>
    <t>— (day-one foundation)</t>
  </si>
  <si>
    <t>PlatformRole + RoleBinding CRDs, Authorization Service, K8s informer-based RoleBinding lookup, RBAC enforcement</t>
  </si>
  <si>
    <t>M2</t>
  </si>
  <si>
    <t>RACKAI-333</t>
  </si>
  <si>
    <t>IAC M1</t>
  </si>
  <si>
    <t>Audit Log query API, sensitive access logging, login events, APIKey lifecycle events</t>
  </si>
  <si>
    <t>M3</t>
  </si>
  <si>
    <t>RACKAI-351</t>
  </si>
  <si>
    <t>Complete</t>
  </si>
  <si>
    <t>IAC M2</t>
  </si>
  <si>
    <t>Metering/billing/quota/observability permission integration, org-level RBAC</t>
  </si>
  <si>
    <t>M4</t>
  </si>
  <si>
    <t>Won't Do</t>
  </si>
  <si>
    <t>IAC M3</t>
  </si>
  <si>
    <t>Platform</t>
  </si>
  <si>
    <t>Team Platform</t>
  </si>
  <si>
    <t>Prometheus Operator, DCGM, node-exporter, AlertManager, Grafana, GPU/cluster dashboards</t>
  </si>
  <si>
    <t>RACKAI-353</t>
  </si>
  <si>
    <t>—</t>
  </si>
  <si>
    <t>Aurora service metrics (Gateway/Auth/Quota), tenant-attributed dashboards, metering pipeline lag metric</t>
  </si>
  <si>
    <t>RACKAI-350</t>
  </si>
  <si>
    <t>Platform M1</t>
  </si>
  <si>
    <t>Loki log aggregation, structured log fields (tenant/project/service), AlertManager e2e validation</t>
  </si>
  <si>
    <t>RACKAI-431</t>
  </si>
  <si>
    <t>Not Started</t>
  </si>
  <si>
    <t>Platform M2</t>
  </si>
  <si>
    <t>VictoriaMetrics remote-write, 13-month retention, FineTuningJob Controller metrics</t>
  </si>
  <si>
    <t>RACKAI-432</t>
  </si>
  <si>
    <t>Platform M3</t>
  </si>
  <si>
    <t>Metering</t>
  </si>
  <si>
    <t>Team Metering</t>
  </si>
  <si>
    <t>Project CRD + usage_records schema + MeteringEvent queue; full pipeline w/ identity context, inference metering, FineTuningJob CRD</t>
  </si>
  <si>
    <t>RACKAI-352</t>
  </si>
  <si>
    <t>IAC M1 (identity)</t>
  </si>
  <si>
    <t>UsageSummary + UsageRecord APIs, historical usage, usage:view enforcement, FineTuningJob metering</t>
  </si>
  <si>
    <t>Metering M1, IAC M2</t>
  </si>
  <si>
    <t>QuotaPolicy CRD, soft quota alerts</t>
  </si>
  <si>
    <t>Metering M2</t>
  </si>
  <si>
    <t>Quota Enforcement Service, Redis counters, pre-execution admission control (429/402)</t>
  </si>
  <si>
    <t>Metering M3</t>
  </si>
  <si>
    <t>Auditing</t>
  </si>
  <si>
    <t>Team Audit/Obs</t>
  </si>
  <si>
    <t>Audit Service core (Redis Streams, PostgreSQL audit-001), audit-003 CRD fields, request_id; K8s admission webhook, proposed-actor flow, FineTuningJob audit events</t>
  </si>
  <si>
    <t>IAC M1 (soft), Gateway request_id</t>
  </si>
  <si>
    <t>audit-002 migration, audit-004 deletion fields, Pattern A controllers, quota/dataset/config audit logs, deletion events, finalizers</t>
  </si>
  <si>
    <t>Audit M1; Pattern A (IAC+Metering)</t>
  </si>
  <si>
    <t>Billing audit, compliance validation</t>
  </si>
  <si>
    <t>Audit M2</t>
  </si>
  <si>
    <t>Observability</t>
  </si>
  <si>
    <t>Metrics API (inference latency/rate/errors, quota utilization), Workload Status API</t>
  </si>
  <si>
    <t>IAC M2 + Platform M1 ⭐ crit-path</t>
  </si>
  <si>
    <t>Logs API (Loki proxy), Alert Rule CRUD, 60s evaluation loop, webhook delivery</t>
  </si>
  <si>
    <t>Obs M1, Platform M3</t>
  </si>
  <si>
    <t>Maintenance</t>
  </si>
  <si>
    <t>Product</t>
  </si>
  <si>
    <t>Ongoing product maintenance &amp; support across the release window</t>
  </si>
  <si>
    <t>Continuous (from 6/29)</t>
  </si>
  <si>
    <t>RACKAI M2 FEATURES   —   product feature delivery (from 'RackAI M2' roadmap, anchored to July)</t>
  </si>
  <si>
    <t>M2 Feature</t>
  </si>
  <si>
    <t>S4–S5</t>
  </si>
  <si>
    <t>Inference routing</t>
  </si>
  <si>
    <t>RACKAI-311</t>
  </si>
  <si>
    <t>IAC M1 (Gateway auth)</t>
  </si>
  <si>
    <t>S4</t>
  </si>
  <si>
    <t>AMD+NVIDIA node support</t>
  </si>
  <si>
    <t>RACKAI-263</t>
  </si>
  <si>
    <t>API Layer Validation</t>
  </si>
  <si>
    <t>RACKAI-261</t>
  </si>
  <si>
    <t>IAC M1 (auth)</t>
  </si>
  <si>
    <t>CODB: Upgrade KServe and friends</t>
  </si>
  <si>
    <t>RACKAI-258</t>
  </si>
  <si>
    <t>CODB: Model parameter / recipe enhancements</t>
  </si>
  <si>
    <t>RACKAI-269</t>
  </si>
  <si>
    <t>CODB: Fix FT to be context parallel</t>
  </si>
  <si>
    <t>RACKAI-340</t>
  </si>
  <si>
    <t>S5</t>
  </si>
  <si>
    <t>Accelerator selection phase 3</t>
  </si>
  <si>
    <t>RACKAI-336</t>
  </si>
  <si>
    <t>Metering M4</t>
  </si>
  <si>
    <t>S5–S8</t>
  </si>
  <si>
    <t>AMD AIM engine integration</t>
  </si>
  <si>
    <t>RACKAI-347</t>
  </si>
  <si>
    <t>S6</t>
  </si>
  <si>
    <t>Speculative Decoding</t>
  </si>
  <si>
    <t>RACKAI-67</t>
  </si>
  <si>
    <t>S6–S7</t>
  </si>
  <si>
    <t>DPO fine tuning</t>
  </si>
  <si>
    <t>RACKAI-252</t>
  </si>
  <si>
    <t>S7</t>
  </si>
  <si>
    <t>SLM support</t>
  </si>
  <si>
    <t>RACKAI-360</t>
  </si>
  <si>
    <t>S8</t>
  </si>
  <si>
    <t>Refrag</t>
  </si>
  <si>
    <t>RACKAI-374</t>
  </si>
  <si>
    <t>S8–S9</t>
  </si>
  <si>
    <t>Dataset Management Improvement</t>
  </si>
  <si>
    <t>RACKAI-385</t>
  </si>
  <si>
    <t>S9–S10</t>
  </si>
  <si>
    <t>Synthetic Data Generation</t>
  </si>
  <si>
    <t>RACKAI-380</t>
  </si>
  <si>
    <t>AI Performance Benchmarks (Internal Benchmarking Process)</t>
  </si>
  <si>
    <t>TBD</t>
  </si>
  <si>
    <t>GPU node access support</t>
  </si>
  <si>
    <t>Unscheduled – backlog</t>
  </si>
  <si>
    <t>Multi region support</t>
  </si>
  <si>
    <t>M2 Maintenance</t>
  </si>
  <si>
    <t>openCenter Upgrade (Dev)</t>
  </si>
  <si>
    <t>RACKAI-357</t>
  </si>
  <si>
    <t>openCenter Upgrade (Staging)</t>
  </si>
  <si>
    <t>RACKAI-358</t>
  </si>
  <si>
    <t>Deploy Prod RackAI Prod)</t>
  </si>
  <si>
    <t>RACKAI-359</t>
  </si>
  <si>
    <t>End-to-end Deployment Automation (Infra, openCenter [K8s], RackAI, and BAIC)</t>
  </si>
  <si>
    <t>RACKAI-224</t>
  </si>
  <si>
    <t>Request new model support</t>
  </si>
  <si>
    <t>RACKAI-354</t>
  </si>
  <si>
    <t>Fine Tuning - Checkpointing + resume</t>
  </si>
  <si>
    <t>RACKAI-379</t>
  </si>
  <si>
    <t>Model Perfomance Benchmarking in RackAI</t>
  </si>
  <si>
    <t>RACKAI-382</t>
  </si>
  <si>
    <t>Model Performance Troubleshooting</t>
  </si>
  <si>
    <t>Workload Profiles UX</t>
  </si>
  <si>
    <t>Sunsetting a model in RackAI</t>
  </si>
  <si>
    <t>RACKAI-372</t>
  </si>
  <si>
    <t>LEGEND</t>
  </si>
  <si>
    <t>⭐ = critical-path point   ·   medium vertical rule = month boundary   ·   dates = week-start (Mon)   ·   Pri colour 1=red → 6=grey   ·   'mw' = man-weeks</t>
  </si>
  <si>
    <t xml:space="preserve">July </t>
  </si>
  <si>
    <t>Aug</t>
  </si>
  <si>
    <t>Sep</t>
  </si>
  <si>
    <t>Oct</t>
  </si>
  <si>
    <t>Nov</t>
  </si>
  <si>
    <t>Man weeks</t>
  </si>
  <si>
    <t>Requirements Doc</t>
  </si>
  <si>
    <t>Tech Spec</t>
  </si>
  <si>
    <t>Sprint 4</t>
  </si>
  <si>
    <t>Sprint 5</t>
  </si>
  <si>
    <t>Sprint 6</t>
  </si>
  <si>
    <t>Sprint 7</t>
  </si>
  <si>
    <t>Sprint 8</t>
  </si>
  <si>
    <t>Sprint 9</t>
  </si>
  <si>
    <t>Sprint 10</t>
  </si>
  <si>
    <t>Sprint 11</t>
  </si>
  <si>
    <t>Sprint Total man weeks</t>
  </si>
  <si>
    <t>https://rackspace.atlassian.net/browse/RACKAI-311</t>
  </si>
  <si>
    <t>Add llm-d to RackAI</t>
  </si>
  <si>
    <t>Routing from ingress to llm-d to model</t>
  </si>
  <si>
    <t>Add shared KV cache</t>
  </si>
  <si>
    <t>https://rackspace.atlassian.net/browse/RACKAI-347</t>
  </si>
  <si>
    <t>Design RackAI integration with AIM engine</t>
  </si>
  <si>
    <t>Accelerator_Selection_TechSpec.docx</t>
  </si>
  <si>
    <t>https://rackspace.atlassian.net/browse/RACKAI-188, https://rackspace.atlassian.net/browse/RACKAI-336</t>
  </si>
  <si>
    <t>Build/Maintain inventory of nodes</t>
  </si>
  <si>
    <t>GPU consumption metrics</t>
  </si>
  <si>
    <t>Add SLM relevant to Uniphore to the model catalog</t>
  </si>
  <si>
    <t>RACKAI-AMD-PRD.docx</t>
  </si>
  <si>
    <t>https://rackspace.atlassian.net/browse/RACKAI-263</t>
  </si>
  <si>
    <t>Inference deployment on compatible GPU node</t>
  </si>
  <si>
    <t>Fine tuning job on compatible GPU node</t>
  </si>
  <si>
    <t>https://rackspace.atlassian.net/browse/RACKAI-252</t>
  </si>
  <si>
    <t>RXT_SyntheticDataPlatform_TechSpec_v0.1.docx</t>
  </si>
  <si>
    <t>AI Performance Benchmarks</t>
  </si>
  <si>
    <t>rackspace-aiperf-tech_spec.docx</t>
  </si>
  <si>
    <t>Download data from URL</t>
  </si>
  <si>
    <t>Observability for RackAI user</t>
  </si>
  <si>
    <t>Introduce API layer validation for data objects in RackAI</t>
  </si>
  <si>
    <t>https://rackspace.atlassian.net/browse/RACKAI-261</t>
  </si>
  <si>
    <t>Upgrade and migrate existing components</t>
  </si>
  <si>
    <t>https://rackspace.atlassian.net/browse/RACKAI-258</t>
  </si>
  <si>
    <t>CODB: Model parameter/recipe enhancements</t>
  </si>
  <si>
    <t>Fix all model parameters and ensure they are being deployed with optimal configuration</t>
  </si>
  <si>
    <t>https://rackspace.atlassian.net/browse/RACKAI-269</t>
  </si>
  <si>
    <t>Product Maintenance</t>
  </si>
  <si>
    <t>Fix FT to be context parallel</t>
  </si>
  <si>
    <t>Total man weeks</t>
  </si>
  <si>
    <t>Token accounting?</t>
  </si>
  <si>
    <r>
      <t>Configuration toggles implemented to select </t>
    </r>
    <r>
      <rPr>
        <b/>
        <sz val="10.5"/>
        <color rgb="FF000000"/>
        <rFont val="Segoe UI"/>
        <charset val="1"/>
      </rPr>
      <t>NIM vs. vLLM</t>
    </r>
    <r>
      <rPr>
        <sz val="10.5"/>
        <color rgb="FF000000"/>
        <rFont val="Segoe UI"/>
        <charset val="1"/>
      </rPr>
      <t> at deployment time. </t>
    </r>
  </si>
  <si>
    <t>Item</t>
  </si>
  <si>
    <t>Notes</t>
  </si>
  <si>
    <t>Produce BGV Reports for P9'ers</t>
  </si>
  <si>
    <t>Paavan</t>
  </si>
  <si>
    <t>Setup Jira board</t>
  </si>
  <si>
    <t>Setup GitHub Mirroring</t>
  </si>
  <si>
    <t>Erik</t>
  </si>
  <si>
    <t>Publish Tech Spec</t>
  </si>
  <si>
    <t>Alberto</t>
  </si>
  <si>
    <t xml:space="preserve">Tech Spec - https://raxglobal.sharepoint.com/:w:/r/sites/PVCEngineering/Shared%20Documents/Project%20Kickoffs%20-%20Specs%20-%20Estimation/PVC%20-%20RackAI/Product%20Tech%20Spec%20-%20RackAI%20(Uniphore)%20-%20LA.docx?d=w023598787b1b43f0a5b968f9640711d2&amp;csf=1&amp;web=1&amp;e=fBgv2Y
PRD - https://raxglobal.sharepoint.com/:w:/r/sites/PVCEngineering/Shared%20Documents/Project%20Kickoffs%20-%20Specs%20-%20Estimation/PVC%20-%20RackAI/PRD%20-%20RackAI%20(Uniphore)%20-%20LA.docx?d=w2b90344a789b4c14a86aa3a2a1312a4f&amp;csf=1&amp;web=1&amp;e=VWpCmg </t>
  </si>
  <si>
    <t>Setup Twice-Weekly Stand-Ups</t>
  </si>
  <si>
    <t>Jovan</t>
  </si>
  <si>
    <t>Setup MS Teams Channel</t>
  </si>
  <si>
    <t>Feature Group</t>
  </si>
  <si>
    <t>S. No.</t>
  </si>
  <si>
    <t>Question for Clarification</t>
  </si>
  <si>
    <t>Answer</t>
  </si>
  <si>
    <t>API Parity</t>
  </si>
  <si>
    <t>Are OpenAI-compatible APIs the only ones being considered from an inference perspective?</t>
  </si>
  <si>
    <t>Paavan: Yes, only OpenAI APIs are relevant per the PRD shared recently</t>
  </si>
  <si>
    <t>Is Anthropic Compatible API a requirement?</t>
  </si>
  <si>
    <t>Paavan: No. See above</t>
  </si>
  <si>
    <t>RMPAI currently lacks a responses API for built-in custom tool calling (MCP integration). Is this a requirement?</t>
  </si>
  <si>
    <t>How important is the auto-scaling feature? What specific scenarios, if any, are being considered for auto-scaling (e.g., predictable traffic, performance optimization, or cost reduction provided by Fireworks AI)?</t>
  </si>
  <si>
    <t>Paavan: Currrently out of scope of phase 1?</t>
  </si>
  <si>
    <t>Is using Hugging Face as the sole model registry sufficient?</t>
  </si>
  <si>
    <t>Paavan: There has been an ask for private registry. Priority is being determined</t>
  </si>
  <si>
    <t>Do we need to host a private model registry to support custom model uploads, or is Hugging Face sufficient for hosting private models?</t>
  </si>
  <si>
    <t>In fine tuning, between SFT, RFT and DPO which ones are key? Which APIs are important to begin in the initial versions of the product?</t>
  </si>
  <si>
    <t>Paavan: SFT first - likely with PEFT. Need to still get information regarding the APIs</t>
  </si>
  <si>
    <t>Is support for secret management via APIs required?</t>
  </si>
  <si>
    <t>NVIDIA NIM Support</t>
  </si>
  <si>
    <t>Any specific NVIDIA hardware specs do we need to support for NIM deployments?</t>
  </si>
  <si>
    <t>Do we want to build using NIM ecosystem? Or just use NIM models?</t>
  </si>
  <si>
    <t>Paavan: Only NIM models</t>
  </si>
  <si>
    <t>Fine-Tuning</t>
  </si>
  <si>
    <t>What fine-tuning algorithms (e.g., LoRA, QLoRA, full parameter) are mandatory for the initial release?</t>
  </si>
  <si>
    <t>Paavan: SFT and PEFT. Let's start with LORA, QLORA</t>
  </si>
  <si>
    <t>Do we need to even expose underline details like LoRA, QLoRA to customers ? Usually platforms like Azure AI Foundry, AWS Bedrock or Fireworks AI they do not expose such details.
What all types of Fine tunning methods we are offering from this list - [ Supervised Fine Tuning (SFT) , Reinforcement Learning (RL) ,  Direct preference optimization (DPO) ]</t>
  </si>
  <si>
    <t>Paavan: SFT and LORA adapter is the first milestone focus.</t>
  </si>
  <si>
    <t xml:space="preserve">How our system is supposed to accept input for fine tuning job ( Sample data &amp; Validation data) ?
Are we supporitng file uploads or cloud storage options like S3/blobstore in this case?
</t>
  </si>
  <si>
    <t>Paavan: Data comes as a file upload to the API. Where it is stored should be decided by the product internally.</t>
  </si>
  <si>
    <t>What all hyperparameters we are looking to expose to the users while configuring the FT job ? Any prior expectations from Uniphore/Racksapce here</t>
  </si>
  <si>
    <t>Paavan: See the doc shared by Rackspace</t>
  </si>
  <si>
    <t>Post FT job artifacts - any requirements on where and how they are stored?</t>
  </si>
  <si>
    <t>Paavan: Should go in a model registry. Likely local and not HF.</t>
  </si>
  <si>
    <t>Misc</t>
  </si>
  <si>
    <t>Are we going with the single cluster deployment for RMPAI? And is it single region/AZ?</t>
  </si>
  <si>
    <t>Paavan: Single Cluster for now.</t>
  </si>
  <si>
    <t>Are there any automation requirements? API, CLI, tool integration like terraform?</t>
  </si>
  <si>
    <t>Paavan: API and CLI support is a must for all features going out now.</t>
  </si>
  <si>
    <t>Questions</t>
  </si>
  <si>
    <t>Delivery Platform - SNOW?</t>
  </si>
  <si>
    <t>Billing?</t>
  </si>
  <si>
    <t>Assigned</t>
  </si>
  <si>
    <t>Erik Ljungstrom</t>
  </si>
  <si>
    <t>Abhimanyu Sharma</t>
  </si>
  <si>
    <t>Rohit Rajak</t>
  </si>
  <si>
    <t>Neelava Chatterjee</t>
  </si>
  <si>
    <t>Unassigned</t>
  </si>
  <si>
    <t>Ajay Bedre</t>
  </si>
  <si>
    <t>Rajendra Gosavi</t>
  </si>
  <si>
    <t>Kim Nguy</t>
  </si>
  <si>
    <t>Alberto Ferrer</t>
  </si>
  <si>
    <t>Deshna Shah</t>
  </si>
  <si>
    <t>Dan 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</si>
</sst>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
    <numFmt numFmtId="165" formatCode="0\ &quot;wk&quot;"/>
  </numFmts>
  <fonts count="44" x14ac:knownFonts="1">
    <font>
      <sz val="10"/>
      <color rgb="FF000000"/>
      <name val="Arial"/>
      <scheme val="minor"/>
    </font>
    <font>
      <sz val="10"/>
      <color theme="1"/>
      <name val="Arial"/>
      <family val="2"/>
      <scheme val="minor"/>
    </font>
    <font>
      <sz val="10"/>
      <color rgb="FF0000FF"/>
      <name val="Roboto"/>
    </font>
    <font>
      <sz val="10"/>
      <color theme="1"/>
      <name val="Roboto"/>
    </font>
    <font>
      <sz val="10"/>
      <color rgb="FF1A485B"/>
      <name val="Roboto"/>
    </font>
    <font>
      <sz val="10"/>
      <color rgb="FF434343"/>
      <name val="Roboto"/>
    </font>
    <font>
      <sz val="10"/>
      <color theme="1"/>
      <name val="Arial"/>
      <family val="2"/>
    </font>
    <font>
      <sz val="10"/>
      <color rgb="FF3A426F"/>
      <name val="Roboto"/>
    </font>
    <font>
      <sz val="10"/>
      <color rgb="FF2D5954"/>
      <name val="Roboto"/>
    </font>
    <font>
      <u/>
      <sz val="10"/>
      <color rgb="FF1155CC"/>
      <name val="Arial"/>
      <family val="2"/>
    </font>
    <font>
      <sz val="10"/>
      <color rgb="FFCC0000"/>
      <name val="Arial"/>
      <family val="2"/>
    </font>
    <font>
      <sz val="10"/>
      <color rgb="FF000000"/>
      <name val="Arial"/>
      <family val="2"/>
      <scheme val="minor"/>
    </font>
    <font>
      <b/>
      <sz val="10"/>
      <color rgb="FF000000"/>
      <name val="Arial"/>
      <family val="2"/>
      <scheme val="minor"/>
    </font>
    <font>
      <sz val="10"/>
      <color rgb="FFFF0000"/>
      <name val="Arial"/>
      <family val="2"/>
      <scheme val="minor"/>
    </font>
    <font>
      <b/>
      <sz val="10.5"/>
      <color rgb="FF000000"/>
      <name val="Segoe UI"/>
      <charset val="1"/>
    </font>
    <font>
      <sz val="10.5"/>
      <color rgb="FF000000"/>
      <name val="Segoe UI"/>
      <charset val="1"/>
    </font>
    <font>
      <b/>
      <sz val="10"/>
      <color theme="1"/>
      <name val="Arial"/>
      <family val="2"/>
      <scheme val="minor"/>
    </font>
    <font>
      <u/>
      <sz val="10"/>
      <color theme="10"/>
      <name val="Arial"/>
      <family val="2"/>
      <scheme val="minor"/>
    </font>
    <font>
      <sz val="11"/>
      <color theme="1"/>
      <name val="Calibri"/>
      <family val="2"/>
      <charset val="1"/>
    </font>
    <font>
      <b/>
      <sz val="15"/>
      <color rgb="FFFFFFFF"/>
      <name val="Arial"/>
      <family val="2"/>
    </font>
    <font>
      <i/>
      <sz val="9"/>
      <color rgb="FF4B5563"/>
      <name val="Arial"/>
      <family val="2"/>
    </font>
    <font>
      <b/>
      <sz val="9"/>
      <color rgb="FF4B5563"/>
      <name val="Arial"/>
      <family val="2"/>
    </font>
    <font>
      <b/>
      <sz val="9"/>
      <color rgb="FF1F2A37"/>
      <name val="Arial"/>
      <family val="2"/>
    </font>
    <font>
      <b/>
      <sz val="11"/>
      <color rgb="FFFFFFFF"/>
      <name val="Arial"/>
      <family val="2"/>
    </font>
    <font>
      <sz val="6"/>
      <color rgb="FFFFFFFF"/>
      <name val="Arial"/>
      <family val="2"/>
    </font>
    <font>
      <b/>
      <sz val="10"/>
      <color rgb="FFFFFFFF"/>
      <name val="Arial"/>
      <family val="2"/>
    </font>
    <font>
      <sz val="9"/>
      <name val="Arial"/>
      <family val="2"/>
    </font>
    <font>
      <b/>
      <sz val="9"/>
      <color rgb="FFC0392B"/>
      <name val="Arial"/>
      <family val="2"/>
    </font>
    <font>
      <b/>
      <sz val="9"/>
      <color rgb="FFD35400"/>
      <name val="Arial"/>
      <family val="2"/>
    </font>
    <font>
      <b/>
      <sz val="9"/>
      <color rgb="FFB7791F"/>
      <name val="Arial"/>
      <family val="2"/>
    </font>
    <font>
      <b/>
      <sz val="9"/>
      <color rgb="FF7F8C3A"/>
      <name val="Arial"/>
      <family val="2"/>
    </font>
    <font>
      <b/>
      <sz val="9"/>
      <color rgb="FF2E7D6B"/>
      <name val="Arial"/>
      <family val="2"/>
    </font>
    <font>
      <b/>
      <sz val="9"/>
      <color rgb="FF95A5A6"/>
      <name val="Arial"/>
      <family val="2"/>
    </font>
    <font>
      <i/>
      <sz val="8"/>
      <color rgb="FF6B7280"/>
      <name val="Arial"/>
      <family val="2"/>
    </font>
    <font>
      <b/>
      <sz val="9"/>
      <color rgb="FFFFFFFF"/>
      <name val="Arial"/>
      <family val="2"/>
    </font>
    <font>
      <b/>
      <sz val="9"/>
      <color rgb="FFFFFFFF"/>
      <name val="Calibri"/>
      <family val="2"/>
      <charset val="1"/>
    </font>
    <font>
      <b/>
      <sz val="11"/>
      <color rgb="FF1F4E78"/>
      <name val="Arial"/>
      <family val="2"/>
    </font>
    <font>
      <b/>
      <sz val="9"/>
      <color theme="0"/>
      <name val="Arial"/>
      <family val="2"/>
    </font>
    <font>
      <sz val="10"/>
      <color rgb="FF000000"/>
      <name val="Tahoma"/>
      <family val="2"/>
    </font>
    <font>
      <b/>
      <sz val="10"/>
      <color rgb="FF000000"/>
      <name val="Tahoma"/>
      <family val="2"/>
    </font>
    <font>
      <sz val="9"/>
      <name val="Arial"/>
      <family val="2"/>
      <scheme val="minor"/>
    </font>
    <font>
      <b/>
      <sz val="11"/>
      <color rgb="FFFFFFFF"/>
      <name val="Calibri"/>
      <family val="2"/>
    </font>
    <font>
      <sz val="9"/>
      <color rgb="FF000000"/>
      <name val="Arial"/>
      <family val="2"/>
    </font>
    <font>
      <b/>
      <sz val="10"/>
      <color rgb="FF000000"/>
      <name val="Arial"/>
      <family val="2"/>
    </font>
  </fonts>
  <fills count="22">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F6F8F9"/>
        <bgColor rgb="FFF6F8F9"/>
      </patternFill>
    </fill>
    <fill>
      <patternFill patternType="solid">
        <fgColor rgb="FFFFFF00"/>
        <bgColor indexed="64"/>
      </patternFill>
    </fill>
    <fill>
      <patternFill patternType="solid">
        <fgColor theme="7" tint="0.79998168889431442"/>
        <bgColor indexed="64"/>
      </patternFill>
    </fill>
    <fill>
      <patternFill patternType="solid">
        <fgColor rgb="FF1F2A37"/>
        <bgColor rgb="FF003366"/>
      </patternFill>
    </fill>
    <fill>
      <patternFill patternType="solid">
        <fgColor rgb="FFE8EBF0"/>
        <bgColor rgb="FFD9D9D9"/>
      </patternFill>
    </fill>
    <fill>
      <patternFill patternType="solid">
        <fgColor rgb="FF2E5A87"/>
        <bgColor rgb="FF3B4B61"/>
      </patternFill>
    </fill>
    <fill>
      <patternFill patternType="solid">
        <fgColor rgb="FF2E7D6B"/>
        <bgColor rgb="FF008080"/>
      </patternFill>
    </fill>
    <fill>
      <patternFill patternType="solid">
        <fgColor rgb="FFB7791F"/>
        <bgColor rgb="FFD35400"/>
      </patternFill>
    </fill>
    <fill>
      <patternFill patternType="solid">
        <fgColor rgb="FF7A3E8C"/>
        <bgColor rgb="FF4B5563"/>
      </patternFill>
    </fill>
    <fill>
      <patternFill patternType="solid">
        <fgColor rgb="FFC0567E"/>
        <bgColor rgb="FFC0392B"/>
      </patternFill>
    </fill>
    <fill>
      <patternFill patternType="solid">
        <fgColor rgb="FF8A8D91"/>
        <bgColor rgb="FF9AA0A6"/>
      </patternFill>
    </fill>
    <fill>
      <patternFill patternType="solid">
        <fgColor rgb="FF3B4B61"/>
        <bgColor rgb="FF4B5563"/>
      </patternFill>
    </fill>
    <fill>
      <patternFill patternType="solid">
        <fgColor rgb="FFD9EAF7"/>
        <bgColor indexed="64"/>
      </patternFill>
    </fill>
    <fill>
      <patternFill patternType="solid">
        <fgColor theme="1"/>
        <bgColor indexed="64"/>
      </patternFill>
    </fill>
    <fill>
      <patternFill patternType="solid">
        <fgColor rgb="FF00B050"/>
        <bgColor indexed="64"/>
      </patternFill>
    </fill>
    <fill>
      <patternFill patternType="solid">
        <fgColor rgb="FF4285F4"/>
        <bgColor indexed="64"/>
      </patternFill>
    </fill>
    <fill>
      <patternFill patternType="solid">
        <fgColor rgb="FF000000"/>
        <bgColor indexed="64"/>
      </patternFill>
    </fill>
  </fills>
  <borders count="22">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3E4791"/>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3E4791"/>
      </right>
      <top style="thin">
        <color rgb="FFD9D9D9"/>
      </top>
      <bottom style="thin">
        <color rgb="FFD9D9D9"/>
      </bottom>
      <diagonal/>
    </border>
    <border>
      <left style="thin">
        <color rgb="FF3E4791"/>
      </left>
      <right style="thin">
        <color rgb="FFD9D9D9"/>
      </right>
      <top style="thin">
        <color rgb="FFD9D9D9"/>
      </top>
      <bottom style="thin">
        <color rgb="FF3E4791"/>
      </bottom>
      <diagonal/>
    </border>
    <border>
      <left style="thin">
        <color rgb="FFD9D9D9"/>
      </left>
      <right style="thin">
        <color rgb="FFD9D9D9"/>
      </right>
      <top style="thin">
        <color rgb="FFD9D9D9"/>
      </top>
      <bottom style="thin">
        <color rgb="FF3E4791"/>
      </bottom>
      <diagonal/>
    </border>
    <border>
      <left style="thin">
        <color rgb="FFD9D9D9"/>
      </left>
      <right style="thin">
        <color rgb="FF3E4791"/>
      </right>
      <top style="thin">
        <color rgb="FFD9D9D9"/>
      </top>
      <bottom style="thin">
        <color rgb="FF3E4791"/>
      </bottom>
      <diagonal/>
    </border>
    <border>
      <left style="thin">
        <color rgb="FF356854"/>
      </left>
      <right/>
      <top style="thin">
        <color rgb="FF356854"/>
      </top>
      <bottom/>
      <diagonal/>
    </border>
    <border>
      <left/>
      <right/>
      <top style="thin">
        <color rgb="FF356854"/>
      </top>
      <bottom/>
      <diagonal/>
    </border>
    <border>
      <left/>
      <right style="thin">
        <color rgb="FF356854"/>
      </right>
      <top style="thin">
        <color rgb="FF356854"/>
      </top>
      <bottom/>
      <diagonal/>
    </border>
    <border>
      <left/>
      <right/>
      <top style="thin">
        <color rgb="FF000000"/>
      </top>
      <bottom/>
      <diagonal/>
    </border>
    <border>
      <left style="thin">
        <color rgb="FFD9D9D9"/>
      </left>
      <right/>
      <top style="thin">
        <color rgb="FFD9D9D9"/>
      </top>
      <bottom style="thin">
        <color rgb="FFD9D9D9"/>
      </bottom>
      <diagonal/>
    </border>
    <border>
      <left style="thin">
        <color rgb="FFD9D9D9"/>
      </left>
      <right style="medium">
        <color rgb="FF9AA0A6"/>
      </right>
      <top style="thin">
        <color rgb="FFD9D9D9"/>
      </top>
      <bottom style="thin">
        <color rgb="FFD9D9D9"/>
      </bottom>
      <diagonal/>
    </border>
    <border>
      <left style="thin">
        <color rgb="FFD9E2F3"/>
      </left>
      <right style="thin">
        <color rgb="FFD9E2F3"/>
      </right>
      <top style="thin">
        <color rgb="FFD9E2F3"/>
      </top>
      <bottom style="thin">
        <color rgb="FFD9E2F3"/>
      </bottom>
      <diagonal/>
    </border>
    <border>
      <left/>
      <right style="thin">
        <color rgb="FFD9D9D9"/>
      </right>
      <top style="thin">
        <color rgb="FFD9D9D9"/>
      </top>
      <bottom style="thin">
        <color rgb="FFD9D9D9"/>
      </bottom>
      <diagonal/>
    </border>
  </borders>
  <cellStyleXfs count="3">
    <xf numFmtId="0" fontId="0" fillId="0" borderId="0"/>
    <xf numFmtId="0" fontId="17" fillId="0" borderId="0" applyNumberFormat="0" applyFill="0" applyBorder="0" applyAlignment="0" applyProtection="0"/>
    <xf numFmtId="0" fontId="18" fillId="0" borderId="0"/>
  </cellStyleXfs>
  <cellXfs count="128">
    <xf numFmtId="0" fontId="0" fillId="0" borderId="0" xfId="0"/>
    <xf numFmtId="0" fontId="1" fillId="0" borderId="0" xfId="0" applyFont="1" applyAlignment="1">
      <alignment horizontal="lef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xf numFmtId="0" fontId="1" fillId="0" borderId="0" xfId="0" applyFont="1" applyAlignment="1">
      <alignment vertical="center" wrapText="1"/>
    </xf>
    <xf numFmtId="0" fontId="1"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4" fillId="3" borderId="8" xfId="0" applyFont="1" applyFill="1" applyBorder="1" applyAlignment="1">
      <alignment vertical="center"/>
    </xf>
    <xf numFmtId="0" fontId="5" fillId="3" borderId="9" xfId="0" applyFont="1" applyFill="1" applyBorder="1" applyAlignment="1">
      <alignment horizontal="right" vertical="center"/>
    </xf>
    <xf numFmtId="0" fontId="5" fillId="4" borderId="9" xfId="0" applyFont="1" applyFill="1" applyBorder="1" applyAlignment="1">
      <alignment vertical="center" wrapText="1"/>
    </xf>
    <xf numFmtId="0" fontId="6" fillId="3" borderId="9" xfId="0" applyFont="1" applyFill="1" applyBorder="1" applyAlignment="1">
      <alignment vertical="center"/>
    </xf>
    <xf numFmtId="0" fontId="5" fillId="3" borderId="10" xfId="0" applyFont="1" applyFill="1" applyBorder="1" applyAlignment="1">
      <alignment vertical="center" wrapText="1"/>
    </xf>
    <xf numFmtId="0" fontId="4" fillId="5" borderId="8" xfId="0" applyFont="1" applyFill="1" applyBorder="1" applyAlignment="1">
      <alignment vertical="center"/>
    </xf>
    <xf numFmtId="0" fontId="5" fillId="5" borderId="9" xfId="0" applyFont="1" applyFill="1" applyBorder="1" applyAlignment="1">
      <alignment horizontal="right" vertical="center"/>
    </xf>
    <xf numFmtId="0" fontId="6" fillId="5" borderId="9" xfId="0" applyFont="1" applyFill="1" applyBorder="1" applyAlignment="1">
      <alignment vertical="center"/>
    </xf>
    <xf numFmtId="0" fontId="5" fillId="5" borderId="10" xfId="0" applyFont="1" applyFill="1" applyBorder="1" applyAlignment="1">
      <alignment vertical="center" wrapText="1"/>
    </xf>
    <xf numFmtId="0" fontId="6" fillId="3" borderId="10" xfId="0" applyFont="1" applyFill="1" applyBorder="1" applyAlignment="1">
      <alignment vertical="center"/>
    </xf>
    <xf numFmtId="0" fontId="6" fillId="5" borderId="10" xfId="0" applyFont="1" applyFill="1" applyBorder="1" applyAlignment="1">
      <alignment vertical="center"/>
    </xf>
    <xf numFmtId="0" fontId="7" fillId="3" borderId="8" xfId="0" applyFont="1" applyFill="1" applyBorder="1" applyAlignment="1">
      <alignment vertical="center"/>
    </xf>
    <xf numFmtId="0" fontId="7" fillId="5" borderId="8" xfId="0" applyFont="1" applyFill="1" applyBorder="1" applyAlignment="1">
      <alignment vertical="center"/>
    </xf>
    <xf numFmtId="0" fontId="8" fillId="3" borderId="8" xfId="0" applyFont="1" applyFill="1" applyBorder="1" applyAlignment="1">
      <alignment vertical="center"/>
    </xf>
    <xf numFmtId="0" fontId="8" fillId="5" borderId="8" xfId="0" applyFont="1" applyFill="1" applyBorder="1" applyAlignment="1">
      <alignment vertical="center"/>
    </xf>
    <xf numFmtId="0" fontId="6" fillId="3" borderId="10" xfId="0" applyFont="1" applyFill="1" applyBorder="1" applyAlignment="1">
      <alignment vertical="center" wrapText="1"/>
    </xf>
    <xf numFmtId="0" fontId="5" fillId="5" borderId="8" xfId="0" applyFont="1" applyFill="1" applyBorder="1" applyAlignment="1">
      <alignment vertical="center"/>
    </xf>
    <xf numFmtId="0" fontId="5" fillId="3" borderId="11" xfId="0" applyFont="1" applyFill="1" applyBorder="1" applyAlignment="1">
      <alignment vertical="center"/>
    </xf>
    <xf numFmtId="0" fontId="5" fillId="3" borderId="12" xfId="0" applyFont="1" applyFill="1" applyBorder="1" applyAlignment="1">
      <alignment horizontal="right" vertical="center"/>
    </xf>
    <xf numFmtId="0" fontId="5" fillId="4" borderId="12" xfId="0" applyFont="1" applyFill="1" applyBorder="1" applyAlignment="1">
      <alignment vertical="center" wrapText="1"/>
    </xf>
    <xf numFmtId="0" fontId="6" fillId="3" borderId="12" xfId="0" applyFont="1" applyFill="1" applyBorder="1" applyAlignment="1">
      <alignment vertical="center"/>
    </xf>
    <xf numFmtId="0" fontId="5" fillId="3" borderId="13" xfId="0" applyFont="1" applyFill="1" applyBorder="1" applyAlignment="1">
      <alignment vertical="center" wrapText="1"/>
    </xf>
    <xf numFmtId="0" fontId="11" fillId="0" borderId="0" xfId="0" applyFont="1"/>
    <xf numFmtId="0" fontId="12" fillId="0" borderId="0" xfId="0" applyFont="1"/>
    <xf numFmtId="0" fontId="13" fillId="0" borderId="5" xfId="0" applyFont="1" applyBorder="1" applyAlignment="1">
      <alignment vertical="center" wrapText="1"/>
    </xf>
    <xf numFmtId="0" fontId="13" fillId="0" borderId="2" xfId="0" applyFont="1" applyBorder="1" applyAlignment="1">
      <alignment vertical="center" wrapText="1"/>
    </xf>
    <xf numFmtId="164"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vertical="center" wrapText="1"/>
    </xf>
    <xf numFmtId="0" fontId="13" fillId="0" borderId="6" xfId="0" applyFont="1" applyBorder="1" applyAlignment="1">
      <alignment vertical="center" wrapText="1"/>
    </xf>
    <xf numFmtId="0" fontId="13" fillId="0" borderId="1" xfId="0" applyFont="1" applyBorder="1" applyAlignment="1">
      <alignment vertical="center" wrapText="1"/>
    </xf>
    <xf numFmtId="164" fontId="1" fillId="0" borderId="2" xfId="0" applyNumberFormat="1" applyFont="1" applyBorder="1" applyAlignment="1">
      <alignment horizontal="center" vertical="center" wrapText="1"/>
    </xf>
    <xf numFmtId="164" fontId="1" fillId="0" borderId="5" xfId="0" applyNumberFormat="1" applyFont="1" applyBorder="1" applyAlignment="1">
      <alignment horizontal="center" vertical="center" wrapText="1"/>
    </xf>
    <xf numFmtId="164" fontId="1" fillId="2" borderId="2" xfId="0" applyNumberFormat="1" applyFont="1" applyFill="1" applyBorder="1" applyAlignment="1">
      <alignment horizontal="center" vertical="center" wrapText="1"/>
    </xf>
    <xf numFmtId="164" fontId="1" fillId="0" borderId="3"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2" fillId="0" borderId="0" xfId="0" applyFont="1" applyAlignment="1">
      <alignment horizontal="center" vertical="center"/>
    </xf>
    <xf numFmtId="0" fontId="11"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wrapText="1"/>
    </xf>
    <xf numFmtId="0" fontId="11" fillId="0" borderId="0" xfId="0" applyFont="1" applyAlignment="1">
      <alignment vertical="top"/>
    </xf>
    <xf numFmtId="0" fontId="0" fillId="0" borderId="0" xfId="0" applyAlignment="1">
      <alignment wrapText="1"/>
    </xf>
    <xf numFmtId="0" fontId="15" fillId="0" borderId="0" xfId="0" applyFont="1"/>
    <xf numFmtId="0" fontId="1"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16" fillId="7" borderId="14" xfId="0" applyFont="1" applyFill="1" applyBorder="1" applyAlignment="1">
      <alignment horizontal="left" vertical="center" wrapText="1"/>
    </xf>
    <xf numFmtId="0" fontId="16" fillId="7" borderId="15" xfId="0" applyFont="1" applyFill="1" applyBorder="1" applyAlignment="1">
      <alignment horizontal="left" vertical="center" wrapText="1"/>
    </xf>
    <xf numFmtId="0" fontId="16" fillId="7" borderId="16" xfId="0" applyFont="1" applyFill="1" applyBorder="1" applyAlignment="1">
      <alignment horizontal="left" vertical="center" wrapText="1"/>
    </xf>
    <xf numFmtId="0" fontId="0" fillId="0" borderId="17" xfId="0" applyBorder="1"/>
    <xf numFmtId="0" fontId="0" fillId="0" borderId="17" xfId="0" applyBorder="1" applyAlignment="1">
      <alignment wrapText="1"/>
    </xf>
    <xf numFmtId="0" fontId="17" fillId="0" borderId="0" xfId="1"/>
    <xf numFmtId="0" fontId="17" fillId="0" borderId="0" xfId="1" applyAlignment="1">
      <alignment wrapText="1"/>
    </xf>
    <xf numFmtId="0" fontId="0" fillId="0" borderId="0" xfId="0" pivotButton="1"/>
    <xf numFmtId="0" fontId="18" fillId="0" borderId="0" xfId="2"/>
    <xf numFmtId="0" fontId="23" fillId="8" borderId="9" xfId="2" applyFont="1" applyFill="1" applyBorder="1" applyAlignment="1">
      <alignment horizontal="center" vertical="center" wrapText="1"/>
    </xf>
    <xf numFmtId="0" fontId="26" fillId="0" borderId="9" xfId="2" applyFont="1" applyBorder="1" applyAlignment="1">
      <alignment horizontal="left" vertical="center" indent="1"/>
    </xf>
    <xf numFmtId="0" fontId="26" fillId="0" borderId="9" xfId="2" applyFont="1" applyBorder="1" applyAlignment="1">
      <alignment horizontal="left" vertical="center" wrapText="1" indent="1"/>
    </xf>
    <xf numFmtId="0" fontId="26" fillId="0" borderId="9" xfId="2" applyFont="1" applyBorder="1" applyAlignment="1">
      <alignment horizontal="center" vertical="center"/>
    </xf>
    <xf numFmtId="0" fontId="18" fillId="10" borderId="9" xfId="2" applyFill="1" applyBorder="1"/>
    <xf numFmtId="0" fontId="18" fillId="11" borderId="9" xfId="2" applyFill="1" applyBorder="1"/>
    <xf numFmtId="0" fontId="18" fillId="12" borderId="9" xfId="2" applyFill="1" applyBorder="1"/>
    <xf numFmtId="0" fontId="18" fillId="13" borderId="9" xfId="2" applyFill="1" applyBorder="1"/>
    <xf numFmtId="0" fontId="18" fillId="14" borderId="9" xfId="2" applyFill="1" applyBorder="1"/>
    <xf numFmtId="0" fontId="18" fillId="15" borderId="9" xfId="2" applyFill="1" applyBorder="1"/>
    <xf numFmtId="0" fontId="27" fillId="0" borderId="9" xfId="2" applyFont="1" applyBorder="1" applyAlignment="1">
      <alignment horizontal="center" vertical="center"/>
    </xf>
    <xf numFmtId="0" fontId="18" fillId="16" borderId="9" xfId="2" applyFill="1" applyBorder="1"/>
    <xf numFmtId="0" fontId="28" fillId="0" borderId="9" xfId="2" applyFont="1" applyBorder="1" applyAlignment="1">
      <alignment horizontal="center" vertical="center"/>
    </xf>
    <xf numFmtId="0" fontId="29" fillId="0" borderId="9" xfId="2" applyFont="1" applyBorder="1" applyAlignment="1">
      <alignment horizontal="center" vertical="center"/>
    </xf>
    <xf numFmtId="0" fontId="30" fillId="0" borderId="9" xfId="2" applyFont="1" applyBorder="1" applyAlignment="1">
      <alignment horizontal="center" vertical="center"/>
    </xf>
    <xf numFmtId="0" fontId="31" fillId="0" borderId="9" xfId="2" applyFont="1" applyBorder="1" applyAlignment="1">
      <alignment horizontal="center" vertical="center"/>
    </xf>
    <xf numFmtId="0" fontId="32" fillId="0" borderId="9" xfId="2" applyFont="1" applyBorder="1" applyAlignment="1">
      <alignment horizontal="center" vertical="center"/>
    </xf>
    <xf numFmtId="0" fontId="22" fillId="0" borderId="0" xfId="2" applyFont="1"/>
    <xf numFmtId="0" fontId="26" fillId="0" borderId="0" xfId="2" applyFont="1" applyAlignment="1">
      <alignment horizontal="left" vertical="center" indent="1"/>
    </xf>
    <xf numFmtId="0" fontId="33" fillId="0" borderId="0" xfId="2" applyFont="1"/>
    <xf numFmtId="0" fontId="12" fillId="0" borderId="17" xfId="0" applyFont="1" applyBorder="1"/>
    <xf numFmtId="0" fontId="12" fillId="6" borderId="17" xfId="0" applyFont="1" applyFill="1" applyBorder="1"/>
    <xf numFmtId="0" fontId="12" fillId="0" borderId="17" xfId="0" applyFont="1" applyBorder="1" applyAlignment="1">
      <alignment wrapText="1"/>
    </xf>
    <xf numFmtId="165" fontId="26" fillId="0" borderId="9" xfId="2" applyNumberFormat="1" applyFont="1" applyBorder="1" applyAlignment="1">
      <alignment horizontal="center" vertical="center"/>
    </xf>
    <xf numFmtId="164" fontId="26" fillId="0" borderId="9" xfId="2" applyNumberFormat="1" applyFont="1" applyBorder="1" applyAlignment="1">
      <alignment horizontal="center" vertical="center"/>
    </xf>
    <xf numFmtId="164" fontId="24" fillId="8" borderId="9" xfId="2" applyNumberFormat="1" applyFont="1" applyFill="1" applyBorder="1" applyAlignment="1">
      <alignment horizontal="center" vertical="center"/>
    </xf>
    <xf numFmtId="164" fontId="24" fillId="8" borderId="19" xfId="2" applyNumberFormat="1" applyFont="1" applyFill="1" applyBorder="1" applyAlignment="1">
      <alignment horizontal="center" vertical="center"/>
    </xf>
    <xf numFmtId="0" fontId="26" fillId="0" borderId="18" xfId="2" applyFont="1" applyBorder="1" applyAlignment="1">
      <alignment horizontal="left" vertical="center" wrapText="1" indent="1"/>
    </xf>
    <xf numFmtId="0" fontId="35" fillId="0" borderId="20" xfId="2" applyFont="1" applyBorder="1" applyAlignment="1">
      <alignment horizontal="center" vertical="center"/>
    </xf>
    <xf numFmtId="0" fontId="34" fillId="0" borderId="20" xfId="2" applyFont="1" applyBorder="1" applyAlignment="1">
      <alignment horizontal="center" vertical="center"/>
    </xf>
    <xf numFmtId="0" fontId="36" fillId="17" borderId="9" xfId="2" applyFont="1" applyFill="1" applyBorder="1" applyAlignment="1">
      <alignment horizontal="center" vertical="center" wrapText="1"/>
    </xf>
    <xf numFmtId="0" fontId="37" fillId="18" borderId="9" xfId="2" applyFont="1" applyFill="1" applyBorder="1" applyAlignment="1">
      <alignment horizontal="center" vertical="center"/>
    </xf>
    <xf numFmtId="0" fontId="17" fillId="0" borderId="0" xfId="1" applyBorder="1" applyAlignment="1">
      <alignment horizontal="center" vertical="center"/>
    </xf>
    <xf numFmtId="0" fontId="17" fillId="0" borderId="9" xfId="1" applyBorder="1" applyAlignment="1">
      <alignment horizontal="center" vertical="center"/>
    </xf>
    <xf numFmtId="0" fontId="16" fillId="7" borderId="17" xfId="0" applyFont="1" applyFill="1" applyBorder="1" applyAlignment="1">
      <alignment horizontal="left" vertical="center" wrapText="1"/>
    </xf>
    <xf numFmtId="0" fontId="17" fillId="0" borderId="17" xfId="1" applyBorder="1" applyAlignment="1">
      <alignment wrapText="1"/>
    </xf>
    <xf numFmtId="0" fontId="17" fillId="0" borderId="0" xfId="1" applyAlignment="1">
      <alignment horizontal="center" vertical="center"/>
    </xf>
    <xf numFmtId="0" fontId="40" fillId="0" borderId="21" xfId="0" applyFont="1" applyBorder="1" applyAlignment="1">
      <alignment horizontal="left" vertical="center" indent="1"/>
    </xf>
    <xf numFmtId="0" fontId="40" fillId="0" borderId="21" xfId="0" applyFont="1" applyBorder="1" applyAlignment="1">
      <alignment horizontal="left" vertical="center" wrapText="1" indent="1"/>
    </xf>
    <xf numFmtId="0" fontId="41" fillId="20" borderId="0" xfId="2" applyFont="1" applyFill="1" applyAlignment="1">
      <alignment horizontal="center" vertical="center"/>
    </xf>
    <xf numFmtId="0" fontId="34" fillId="19" borderId="9" xfId="2" applyFont="1" applyFill="1" applyBorder="1" applyAlignment="1">
      <alignment horizontal="center" vertical="center"/>
    </xf>
    <xf numFmtId="0" fontId="34" fillId="20" borderId="9" xfId="2" applyFont="1" applyFill="1" applyBorder="1" applyAlignment="1">
      <alignment horizontal="center" vertical="center"/>
    </xf>
    <xf numFmtId="0" fontId="34" fillId="21" borderId="9" xfId="2" applyFont="1" applyFill="1" applyBorder="1" applyAlignment="1">
      <alignment horizontal="center" vertical="center"/>
    </xf>
    <xf numFmtId="0" fontId="42" fillId="0" borderId="9" xfId="2" applyFont="1" applyBorder="1" applyAlignment="1">
      <alignment horizontal="center" vertical="center"/>
    </xf>
    <xf numFmtId="0" fontId="11" fillId="0" borderId="0" xfId="1" applyFont="1" applyBorder="1" applyAlignment="1">
      <alignment horizontal="center" vertical="center"/>
    </xf>
    <xf numFmtId="0" fontId="11" fillId="0" borderId="9" xfId="1" applyFont="1" applyBorder="1" applyAlignment="1">
      <alignment horizontal="center" vertical="center"/>
    </xf>
    <xf numFmtId="0" fontId="11" fillId="0" borderId="0" xfId="1" applyFont="1" applyAlignment="1">
      <alignment horizontal="center" vertical="center"/>
    </xf>
    <xf numFmtId="0" fontId="34" fillId="20" borderId="0" xfId="2" applyFont="1" applyFill="1" applyAlignment="1">
      <alignment horizontal="center" vertical="center"/>
    </xf>
    <xf numFmtId="0" fontId="22" fillId="9" borderId="18" xfId="2" applyFont="1" applyFill="1" applyBorder="1" applyAlignment="1">
      <alignment horizontal="center" vertical="center"/>
    </xf>
    <xf numFmtId="0" fontId="25" fillId="8" borderId="0" xfId="2" applyFont="1" applyFill="1" applyAlignment="1">
      <alignment horizontal="left" vertical="center" indent="1"/>
    </xf>
    <xf numFmtId="0" fontId="25" fillId="16" borderId="0" xfId="2" applyFont="1" applyFill="1" applyAlignment="1">
      <alignment horizontal="left" vertical="center" indent="1"/>
    </xf>
    <xf numFmtId="0" fontId="25" fillId="16" borderId="0" xfId="2" applyFont="1" applyFill="1" applyAlignment="1">
      <alignment horizontal="left" vertical="center" wrapText="1" indent="1"/>
    </xf>
    <xf numFmtId="0" fontId="43" fillId="16" borderId="0" xfId="2" applyFont="1" applyFill="1" applyAlignment="1">
      <alignment horizontal="left" vertical="center" indent="1"/>
    </xf>
    <xf numFmtId="165" fontId="25" fillId="16" borderId="0" xfId="2" applyNumberFormat="1" applyFont="1" applyFill="1" applyAlignment="1">
      <alignment horizontal="center" vertical="center" indent="1"/>
    </xf>
    <xf numFmtId="164" fontId="25" fillId="16" borderId="0" xfId="2" applyNumberFormat="1" applyFont="1" applyFill="1" applyAlignment="1">
      <alignment horizontal="left" vertical="center" indent="1"/>
    </xf>
    <xf numFmtId="0" fontId="34" fillId="0" borderId="20" xfId="2" applyFont="1" applyBorder="1" applyAlignment="1">
      <alignment horizontal="center" vertical="center" indent="1"/>
    </xf>
    <xf numFmtId="0" fontId="19" fillId="8" borderId="0" xfId="2" applyFont="1" applyFill="1" applyAlignment="1">
      <alignment horizontal="left" vertical="center" indent="1"/>
    </xf>
    <xf numFmtId="0" fontId="20" fillId="0" borderId="0" xfId="2" applyFont="1" applyAlignment="1">
      <alignment horizontal="left" vertical="center" indent="1"/>
    </xf>
    <xf numFmtId="0" fontId="21" fillId="9" borderId="18" xfId="2" applyFont="1" applyFill="1" applyBorder="1" applyAlignment="1">
      <alignment horizontal="right" vertical="center" indent="1"/>
    </xf>
  </cellXfs>
  <cellStyles count="3">
    <cellStyle name="Hyperlink" xfId="1" builtinId="8"/>
    <cellStyle name="Normal" xfId="0" builtinId="0"/>
    <cellStyle name="Normal 2" xfId="2" xr:uid="{8DD7EFCE-FBEA-C340-BE23-C68B871B29D8}"/>
  </cellStyles>
  <dxfs count="28">
    <dxf>
      <font>
        <color rgb="FF006100"/>
      </font>
      <fill>
        <patternFill>
          <bgColor rgb="FFC6EFCE"/>
        </patternFill>
      </fill>
    </dxf>
    <dxf>
      <font>
        <color theme="0"/>
      </font>
      <fill>
        <patternFill>
          <bgColor theme="1"/>
        </patternFill>
      </fill>
    </dxf>
    <dxf>
      <font>
        <color rgb="FF9C5700"/>
      </font>
      <fill>
        <patternFill>
          <bgColor rgb="FFFFEB9C"/>
        </patternFill>
      </fill>
    </dxf>
    <dxf>
      <font>
        <b/>
        <i val="0"/>
        <color theme="0"/>
      </font>
      <fill>
        <patternFill>
          <bgColor theme="4" tint="-0.24994659260841701"/>
        </patternFill>
      </fill>
    </dxf>
    <dxf>
      <fill>
        <patternFill>
          <bgColor rgb="FFFFC7CE"/>
        </patternFill>
      </fill>
    </dxf>
    <dxf>
      <fill>
        <patternFill patternType="solid">
          <bgColor rgb="FFC6EFCE"/>
        </patternFill>
      </fill>
    </dxf>
    <dxf>
      <font>
        <b/>
        <i val="0"/>
        <color rgb="FFFFFFFF"/>
      </font>
      <fill>
        <patternFill patternType="solid">
          <fgColor indexed="64"/>
          <bgColor rgb="FF70AD47"/>
        </patternFill>
      </fill>
    </dxf>
    <dxf>
      <font>
        <b/>
        <i val="0"/>
        <color rgb="FFFFFFFF"/>
      </font>
      <fill>
        <patternFill patternType="solid">
          <fgColor indexed="64"/>
          <bgColor rgb="FF9E480E"/>
        </patternFill>
      </fill>
    </dxf>
    <dxf>
      <font>
        <b/>
        <i val="0"/>
        <color rgb="FFFFFFFF"/>
      </font>
      <fill>
        <patternFill patternType="solid">
          <fgColor indexed="64"/>
          <bgColor rgb="FFED7D31"/>
        </patternFill>
      </fill>
    </dxf>
    <dxf>
      <font>
        <b/>
        <i val="0"/>
        <color rgb="FFFFFFFF"/>
      </font>
      <fill>
        <patternFill patternType="solid">
          <fgColor indexed="64"/>
          <bgColor rgb="FF7F7F7F"/>
        </patternFill>
      </fill>
    </dxf>
    <dxf>
      <font>
        <b/>
        <i val="0"/>
        <color rgb="FFFFFFFF"/>
      </font>
      <fill>
        <patternFill patternType="solid">
          <fgColor indexed="64"/>
          <bgColor rgb="FF4472C4"/>
        </patternFill>
      </fill>
    </dxf>
    <dxf>
      <font>
        <b/>
        <i val="0"/>
        <color rgb="FFFFFFFF"/>
      </font>
      <fill>
        <patternFill patternType="solid">
          <fgColor indexed="64"/>
          <bgColor rgb="FFA64D79"/>
        </patternFill>
      </fill>
    </dxf>
    <dxf>
      <font>
        <b/>
        <i val="0"/>
        <color rgb="FF000000"/>
      </font>
      <fill>
        <patternFill patternType="solid">
          <fgColor indexed="64"/>
          <bgColor rgb="FFFFC000"/>
        </patternFill>
      </fill>
    </dxf>
    <dxf>
      <font>
        <b/>
        <i val="0"/>
        <color rgb="FFFFFFFF"/>
      </font>
      <fill>
        <patternFill patternType="solid">
          <fgColor indexed="64"/>
          <bgColor rgb="FF5B9BD5"/>
        </patternFill>
      </fill>
    </dxf>
    <dxf>
      <font>
        <color rgb="FFFFFFFF"/>
      </font>
      <fill>
        <patternFill patternType="solid">
          <fgColor indexed="64"/>
          <bgColor rgb="FF8B0000"/>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border diagonalUp="0" diagonalDown="0">
        <left style="thin">
          <color rgb="FF000000"/>
        </left>
        <right style="thin">
          <color rgb="FF000000"/>
        </right>
        <top/>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Uniphore Phase 1-style" pivot="0" count="4" xr9:uid="{00000000-0011-0000-FFFF-FFFF00000000}">
      <tableStyleElement type="wholeTable" size="0" dxfId="27"/>
      <tableStyleElement type="headerRow" dxfId="26"/>
      <tableStyleElement type="firstRowStripe" dxfId="25"/>
      <tableStyleElement type="secondRowStripe" dxfId="24"/>
    </tableStyle>
    <tableStyle name="Questions to Uniphore-style" pivot="0" count="4" xr9:uid="{00000000-0011-0000-FFFF-FFFF01000000}">
      <tableStyleElement type="wholeTable" size="0" dxfId="2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9.489493865738" createdVersion="8" refreshedVersion="8" minRefreshableVersion="3" recordCount="27" xr:uid="{557A5F2F-3730-4519-A41F-4FBCDCF0E757}">
  <cacheSource type="worksheet">
    <worksheetSource ref="A3:D30" sheet="RackAI M2"/>
  </cacheSource>
  <cacheFields count="4">
    <cacheField name="Feature" numFmtId="0">
      <sharedItems containsBlank="1" count="18">
        <s v="Inference routing"/>
        <m/>
        <s v="AMD AIM engine integration"/>
        <s v="Accelerator selection phase 3"/>
        <s v="SLM support"/>
        <s v="GPU node access support"/>
        <s v="AMD+NVIDIA node support"/>
        <s v="DPO fine tuning"/>
        <s v="Synthetic Data Generation"/>
        <s v="AI Performance Benchmarks"/>
        <s v="Speculative Decoding"/>
        <s v="Refrag"/>
        <s v="Dataset Management Improvement"/>
        <s v="Multi region support"/>
        <s v="Observability for RackAI user"/>
        <s v="API Layer Validation"/>
        <s v="CODB: Upgrade KServe and friends"/>
        <s v="CODB: Model parameter/recipe enhancements"/>
      </sharedItems>
    </cacheField>
    <cacheField name="Task" numFmtId="0">
      <sharedItems containsBlank="1"/>
    </cacheField>
    <cacheField name="Man weeks" numFmtId="0">
      <sharedItems containsString="0" containsBlank="1" containsNumber="1" containsInteger="1" minValue="1" maxValue="8"/>
    </cacheField>
    <cacheField name="Priority" numFmtId="0">
      <sharedItems containsString="0" containsBlank="1" containsNumber="1" containsInteger="1" minValue="1" maxValue="6" count="7">
        <n v="1"/>
        <m/>
        <n v="2"/>
        <n v="4"/>
        <n v="6"/>
        <n v="3"/>
        <n v="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m/>
    <n v="4"/>
    <x v="0"/>
  </r>
  <r>
    <x v="1"/>
    <s v="Add llm-d to RackAI"/>
    <m/>
    <x v="1"/>
  </r>
  <r>
    <x v="1"/>
    <s v="Routing from ingress to llm-d to model"/>
    <m/>
    <x v="1"/>
  </r>
  <r>
    <x v="1"/>
    <s v="Add shared KV cache"/>
    <m/>
    <x v="1"/>
  </r>
  <r>
    <x v="2"/>
    <m/>
    <n v="8"/>
    <x v="2"/>
  </r>
  <r>
    <x v="1"/>
    <s v="Design RackAI integration with AIM engine"/>
    <m/>
    <x v="1"/>
  </r>
  <r>
    <x v="3"/>
    <m/>
    <n v="2"/>
    <x v="0"/>
  </r>
  <r>
    <x v="1"/>
    <s v="Build/Maintain inventory of nodes"/>
    <m/>
    <x v="1"/>
  </r>
  <r>
    <x v="1"/>
    <s v="GPU consumption metrics"/>
    <m/>
    <x v="1"/>
  </r>
  <r>
    <x v="4"/>
    <m/>
    <n v="2"/>
    <x v="3"/>
  </r>
  <r>
    <x v="1"/>
    <s v="Add SLM relevant to Uniphore to the model catalog"/>
    <m/>
    <x v="1"/>
  </r>
  <r>
    <x v="5"/>
    <m/>
    <m/>
    <x v="4"/>
  </r>
  <r>
    <x v="6"/>
    <m/>
    <n v="2"/>
    <x v="0"/>
  </r>
  <r>
    <x v="1"/>
    <s v="Inference deployment on compatible GPU node"/>
    <m/>
    <x v="1"/>
  </r>
  <r>
    <x v="1"/>
    <s v="Fine tuning job on compatible GPU node"/>
    <m/>
    <x v="1"/>
  </r>
  <r>
    <x v="7"/>
    <m/>
    <n v="4"/>
    <x v="5"/>
  </r>
  <r>
    <x v="8"/>
    <m/>
    <n v="4"/>
    <x v="6"/>
  </r>
  <r>
    <x v="9"/>
    <m/>
    <n v="4"/>
    <x v="6"/>
  </r>
  <r>
    <x v="10"/>
    <m/>
    <n v="2"/>
    <x v="5"/>
  </r>
  <r>
    <x v="11"/>
    <m/>
    <n v="2"/>
    <x v="3"/>
  </r>
  <r>
    <x v="12"/>
    <m/>
    <n v="4"/>
    <x v="3"/>
  </r>
  <r>
    <x v="1"/>
    <s v="Download data from URL"/>
    <m/>
    <x v="1"/>
  </r>
  <r>
    <x v="13"/>
    <m/>
    <m/>
    <x v="4"/>
  </r>
  <r>
    <x v="14"/>
    <m/>
    <n v="4"/>
    <x v="2"/>
  </r>
  <r>
    <x v="15"/>
    <s v="Introduce API layer validation for data objects in RackAI"/>
    <n v="1"/>
    <x v="0"/>
  </r>
  <r>
    <x v="16"/>
    <s v="Upgrade and migrate existing components"/>
    <n v="2"/>
    <x v="0"/>
  </r>
  <r>
    <x v="17"/>
    <s v="Fix all model parameters and ensure they are being deployed with optimal configuration"/>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43BA6B-53F5-47FD-86C1-C3DE1C6C971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fieldListSortAscending="1">
  <location ref="A37:B54" firstHeaderRow="1" firstDataRow="1" firstDataCol="2"/>
  <pivotFields count="4">
    <pivotField axis="axisRow" compact="0" outline="0" showAll="0" defaultSubtotal="0">
      <items count="18">
        <item x="3"/>
        <item x="9"/>
        <item x="2"/>
        <item x="6"/>
        <item x="15"/>
        <item x="17"/>
        <item x="16"/>
        <item x="12"/>
        <item x="7"/>
        <item x="5"/>
        <item x="0"/>
        <item x="13"/>
        <item x="14"/>
        <item x="11"/>
        <item x="4"/>
        <item x="10"/>
        <item x="8"/>
        <item x="1"/>
      </items>
    </pivotField>
    <pivotField compact="0" outline="0" showAll="0" defaultSubtotal="0"/>
    <pivotField compact="0" outline="0" showAll="0" defaultSubtotal="0"/>
    <pivotField axis="axisRow" compact="0" outline="0" showAll="0" defaultSubtotal="0">
      <items count="7">
        <item x="0"/>
        <item x="2"/>
        <item x="5"/>
        <item x="3"/>
        <item x="6"/>
        <item x="4"/>
        <item h="1" x="1"/>
      </items>
    </pivotField>
  </pivotFields>
  <rowFields count="2">
    <field x="3"/>
    <field x="0"/>
  </rowFields>
  <rowItems count="17">
    <i>
      <x/>
      <x/>
    </i>
    <i r="1">
      <x v="3"/>
    </i>
    <i r="1">
      <x v="4"/>
    </i>
    <i r="1">
      <x v="5"/>
    </i>
    <i r="1">
      <x v="6"/>
    </i>
    <i r="1">
      <x v="10"/>
    </i>
    <i>
      <x v="1"/>
      <x v="2"/>
    </i>
    <i r="1">
      <x v="12"/>
    </i>
    <i>
      <x v="2"/>
      <x v="8"/>
    </i>
    <i r="1">
      <x v="15"/>
    </i>
    <i>
      <x v="3"/>
      <x v="7"/>
    </i>
    <i r="1">
      <x v="13"/>
    </i>
    <i r="1">
      <x v="14"/>
    </i>
    <i>
      <x v="4"/>
      <x v="1"/>
    </i>
    <i r="1">
      <x v="16"/>
    </i>
    <i>
      <x v="5"/>
      <x v="9"/>
    </i>
    <i r="1">
      <x v="11"/>
    </i>
  </rowItems>
  <colItems count="1">
    <i/>
  </colItems>
  <pivotTableStyleInfo name="Pivot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34">
  <autoFilter ref="A1:I34" xr:uid="{00000000-000C-0000-FFFF-FFFF00000000}"/>
  <tableColumns count="9">
    <tableColumn id="1" xr3:uid="{00000000-0010-0000-0000-000001000000}" name="Feature"/>
    <tableColumn id="2" xr3:uid="{00000000-0010-0000-0000-000002000000}" name="Task"/>
    <tableColumn id="9" xr3:uid="{22AB2E18-FD57-8C4F-862C-43370315042E}" name="Milestone" dataDxfId="19"/>
    <tableColumn id="3" xr3:uid="{00000000-0010-0000-0000-000003000000}" name="Priority"/>
    <tableColumn id="4" xr3:uid="{00000000-0010-0000-0000-000004000000}" name="Start Date"/>
    <tableColumn id="5" xr3:uid="{00000000-0010-0000-0000-000005000000}" name="End Date"/>
    <tableColumn id="6" xr3:uid="{00000000-0010-0000-0000-000006000000}" name="Status"/>
    <tableColumn id="7" xr3:uid="{00000000-0010-0000-0000-000007000000}" name="Owner"/>
    <tableColumn id="8" xr3:uid="{00000000-0010-0000-0000-000008000000}" name="Comments"/>
  </tableColumns>
  <tableStyleInfo name="Uniphore Phase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B9277F-767E-254F-B91B-27FB2B353481}" name="Table3" displayName="Table3" ref="A1:D7" totalsRowShown="0" headerRowDxfId="18">
  <autoFilter ref="A1:D7" xr:uid="{D8B9277F-767E-254F-B91B-27FB2B353481}"/>
  <tableColumns count="4">
    <tableColumn id="1" xr3:uid="{74B43FA7-92F7-E24F-88D6-6082581C8EAC}" name="Item" dataDxfId="17"/>
    <tableColumn id="3" xr3:uid="{1BAC2038-3B8E-2C47-84BA-A684A3179B04}" name="Owner" dataDxfId="16"/>
    <tableColumn id="4" xr3:uid="{2FC5D73F-F61B-774F-AB32-CC0020F1FD86}" name="Status" dataDxfId="15"/>
    <tableColumn id="5" xr3:uid="{214733B1-15D5-9545-BF52-B9047D4407DA}" name="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F18">
  <tableColumns count="6">
    <tableColumn id="1" xr3:uid="{00000000-0010-0000-0100-000001000000}" name="Feature Group"/>
    <tableColumn id="2" xr3:uid="{00000000-0010-0000-0100-000002000000}" name="S. No."/>
    <tableColumn id="3" xr3:uid="{00000000-0010-0000-0100-000003000000}" name="Question for Clarification"/>
    <tableColumn id="4" xr3:uid="{00000000-0010-0000-0100-000004000000}" name="Priority"/>
    <tableColumn id="5" xr3:uid="{00000000-0010-0000-0100-000005000000}" name="Answer"/>
    <tableColumn id="6" xr3:uid="{00000000-0010-0000-0100-000006000000}" name="Comments"/>
  </tableColumns>
  <tableStyleInfo name="Questions to Uniphor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8D8980F-2F85-2E46-A24D-A2028C8A0813}">
  <we:reference id="29673e3c-d826-4f00-92ee-162334a52b1a" version="1.0.0.8" store="EXCatalog" storeType="EXCatalog"/>
  <we:alternateReferences>
    <we:reference id="WA200009404" version="1.0.0.8" store="en-US" storeType="OMEX"/>
  </we:alternateReferences>
  <we:properties>
    <we:property name="claude.fileId" value="&quot;04774b7f-8d0b-499d-8295-827e223b68d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53C5FA9E-9B6A-7140-83FA-76F47C2AA4DA}">
  <we:reference id="WA200010725" version="1.0.0.1" store="Omex" storeType="OMEX"/>
  <we:alternateReferences>
    <we:reference id="WA200010725" version="1.0.0.1" store="WA200010725" storeType="OMEX"/>
  </we:alternateReferences>
  <we:properties>
    <we:property name="claude.fileId" value="&quot;13c5c58d-612e-426d-a69f-2317a67a4ef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rmpai.rackspac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ackspace.atlassian.net/browse/RACKAI-311" TargetMode="External"/><Relationship Id="rId13" Type="http://schemas.openxmlformats.org/officeDocument/2006/relationships/hyperlink" Target="https://rackspace.atlassian.net/browse/RACKAI-347" TargetMode="External"/><Relationship Id="rId18" Type="http://schemas.openxmlformats.org/officeDocument/2006/relationships/hyperlink" Target="https://rackspace.atlassian.net/browse/RACKAI-359" TargetMode="External"/><Relationship Id="rId26" Type="http://schemas.openxmlformats.org/officeDocument/2006/relationships/hyperlink" Target="https://rackspace.atlassian.net/browse/RACKAI-385" TargetMode="External"/><Relationship Id="rId3" Type="http://schemas.openxmlformats.org/officeDocument/2006/relationships/hyperlink" Target="https://rackspace.atlassian.net/browse/RACKAI-333" TargetMode="External"/><Relationship Id="rId21" Type="http://schemas.openxmlformats.org/officeDocument/2006/relationships/hyperlink" Target="https://rackspace.atlassian.net/browse/RACKAI-269" TargetMode="External"/><Relationship Id="rId7" Type="http://schemas.openxmlformats.org/officeDocument/2006/relationships/hyperlink" Target="https://rackspace.atlassian.net/browse/RACKAI-224" TargetMode="External"/><Relationship Id="rId12" Type="http://schemas.openxmlformats.org/officeDocument/2006/relationships/hyperlink" Target="https://rackspace.atlassian.net/browse/RACKAI-336" TargetMode="External"/><Relationship Id="rId17" Type="http://schemas.openxmlformats.org/officeDocument/2006/relationships/hyperlink" Target="https://rackspace.atlassian.net/browse/RACKAI-358" TargetMode="External"/><Relationship Id="rId25" Type="http://schemas.openxmlformats.org/officeDocument/2006/relationships/hyperlink" Target="https://rackspace.atlassian.net/browse/RACKAI-379" TargetMode="External"/><Relationship Id="rId2" Type="http://schemas.openxmlformats.org/officeDocument/2006/relationships/hyperlink" Target="https://rackspace.atlassian.net/browse/RACKAI-350" TargetMode="External"/><Relationship Id="rId16" Type="http://schemas.openxmlformats.org/officeDocument/2006/relationships/hyperlink" Target="https://rackspace.atlassian.net/browse/RACKAI-357" TargetMode="External"/><Relationship Id="rId20" Type="http://schemas.openxmlformats.org/officeDocument/2006/relationships/hyperlink" Target="https://rackspace.atlassian.net/browse/RACKAI-354" TargetMode="External"/><Relationship Id="rId29" Type="http://schemas.openxmlformats.org/officeDocument/2006/relationships/hyperlink" Target="https://rackspace.atlassian.net/browse/RACKAI-431" TargetMode="External"/><Relationship Id="rId1" Type="http://schemas.openxmlformats.org/officeDocument/2006/relationships/hyperlink" Target="https://rackspace.atlassian.net/browse/RACKAI-204" TargetMode="External"/><Relationship Id="rId6" Type="http://schemas.openxmlformats.org/officeDocument/2006/relationships/hyperlink" Target="https://rackspace.atlassian.net/browse/RACKAI-353" TargetMode="External"/><Relationship Id="rId11" Type="http://schemas.openxmlformats.org/officeDocument/2006/relationships/hyperlink" Target="https://rackspace.atlassian.net/browse/RACKAI-258" TargetMode="External"/><Relationship Id="rId24" Type="http://schemas.openxmlformats.org/officeDocument/2006/relationships/hyperlink" Target="https://rackspace.atlassian.net/browse/RACKAI-380" TargetMode="External"/><Relationship Id="rId32" Type="http://schemas.openxmlformats.org/officeDocument/2006/relationships/comments" Target="../comments1.xml"/><Relationship Id="rId5" Type="http://schemas.openxmlformats.org/officeDocument/2006/relationships/hyperlink" Target="https://rackspace.atlassian.net/browse/RACKAI-352" TargetMode="External"/><Relationship Id="rId15" Type="http://schemas.openxmlformats.org/officeDocument/2006/relationships/hyperlink" Target="https://rackspace.atlassian.net/browse/RACKAI-67" TargetMode="External"/><Relationship Id="rId23" Type="http://schemas.openxmlformats.org/officeDocument/2006/relationships/hyperlink" Target="https://rackspace.atlassian.net/browse/RACKAI-374" TargetMode="External"/><Relationship Id="rId28" Type="http://schemas.openxmlformats.org/officeDocument/2006/relationships/hyperlink" Target="https://rackspace.atlassian.net/browse/RACKAI-372" TargetMode="External"/><Relationship Id="rId10" Type="http://schemas.openxmlformats.org/officeDocument/2006/relationships/hyperlink" Target="https://rackspace.atlassian.net/browse/RACKAI-261" TargetMode="External"/><Relationship Id="rId19" Type="http://schemas.openxmlformats.org/officeDocument/2006/relationships/hyperlink" Target="https://rackspace.atlassian.net/browse/RACKAI-360" TargetMode="External"/><Relationship Id="rId31" Type="http://schemas.openxmlformats.org/officeDocument/2006/relationships/vmlDrawing" Target="../drawings/vmlDrawing1.vml"/><Relationship Id="rId4" Type="http://schemas.openxmlformats.org/officeDocument/2006/relationships/hyperlink" Target="https://rackspace.atlassian.net/browse/RACKAI-351" TargetMode="External"/><Relationship Id="rId9" Type="http://schemas.openxmlformats.org/officeDocument/2006/relationships/hyperlink" Target="https://rackspace.atlassian.net/browse/RACKAI-263" TargetMode="External"/><Relationship Id="rId14" Type="http://schemas.openxmlformats.org/officeDocument/2006/relationships/hyperlink" Target="https://rackspace.atlassian.net/browse/RACKAI-252" TargetMode="External"/><Relationship Id="rId22" Type="http://schemas.openxmlformats.org/officeDocument/2006/relationships/hyperlink" Target="https://rackspace.atlassian.net/browse/RACKAI-340" TargetMode="External"/><Relationship Id="rId27" Type="http://schemas.openxmlformats.org/officeDocument/2006/relationships/hyperlink" Target="https://rackspace.atlassian.net/browse/RACKAI-382" TargetMode="External"/><Relationship Id="rId30" Type="http://schemas.openxmlformats.org/officeDocument/2006/relationships/hyperlink" Target="https://rackspace.atlassian.net/browse/RACKAI-43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rackspace.atlassian.net/browse/RACKAI-261" TargetMode="External"/><Relationship Id="rId13" Type="http://schemas.openxmlformats.org/officeDocument/2006/relationships/hyperlink" Target="https://rackspace.atlassian.net/browse/RACKAI-263" TargetMode="External"/><Relationship Id="rId3" Type="http://schemas.openxmlformats.org/officeDocument/2006/relationships/hyperlink" Target="https://raxglobal.sharepoint.com/:w:/r/sites/RackAI-RackAI-RXT-P9-Tech/Shared%20Documents/RACKAI-AMD-PRD.docx?d=wdac14c2bbe6e43288a9aa879b74a3598&amp;csf=1&amp;web=1&amp;e=OqgDJL" TargetMode="External"/><Relationship Id="rId7" Type="http://schemas.openxmlformats.org/officeDocument/2006/relationships/hyperlink" Target="https://raxglobal.sharepoint.com/:w:/r/sites/RackAI-RackAI-RXT-P9-Tech/Shared%20Documents/rackspace-aiperf-tech_spec.docx?d=w63eb0af994474b0a86b20b807524325d&amp;csf=1&amp;web=1&amp;e=EXF4N7" TargetMode="External"/><Relationship Id="rId12" Type="http://schemas.openxmlformats.org/officeDocument/2006/relationships/hyperlink" Target="https://rackspace.atlassian.net/browse/RACKAI-252" TargetMode="External"/><Relationship Id="rId2" Type="http://schemas.openxmlformats.org/officeDocument/2006/relationships/hyperlink" Target="https://raxglobal.sharepoint.com/:w:/r/sites/RackAI-RackAI-RXT-P9-Tech/Shared%20Documents/RACKAI-AMD-PRD.docx?d=wdac14c2bbe6e43288a9aa879b74a3598&amp;csf=1&amp;web=1&amp;e=OqgDJL" TargetMode="External"/><Relationship Id="rId1" Type="http://schemas.openxmlformats.org/officeDocument/2006/relationships/pivotTable" Target="../pivotTables/pivotTable1.xml"/><Relationship Id="rId6" Type="http://schemas.openxmlformats.org/officeDocument/2006/relationships/hyperlink" Target="https://raxglobal.sharepoint.com/:w:/r/sites/RackAI-RackAI-RXT-P9-Tech/Shared%20Documents/RXT_SyntheticDataPlatform_TechSpec_v0.1.docx?d=w18e159e67e964a489a896b8c73fa8da9&amp;csf=1&amp;web=1&amp;e=bwL4zg" TargetMode="External"/><Relationship Id="rId11" Type="http://schemas.openxmlformats.org/officeDocument/2006/relationships/hyperlink" Target="https://rackspace.atlassian.net/browse/RACKAI-347" TargetMode="External"/><Relationship Id="rId5" Type="http://schemas.openxmlformats.org/officeDocument/2006/relationships/hyperlink" Target="https://raxglobal.sharepoint.com/:w:/r/sites/RackAI/Shared%20Documents/General/RackAI/Product%20Requirements%20%26%20Tech%20Specs/PRD/Accelerator_Selection_TechSpec.docx?d=wbfb5a856f650466d8d59d17eb403c862&amp;csf=1&amp;web=1&amp;e=ITt87z" TargetMode="External"/><Relationship Id="rId15" Type="http://schemas.openxmlformats.org/officeDocument/2006/relationships/hyperlink" Target="https://rackspace.atlassian.net/browse/RACKAI-188,%20https:/rackspace.atlassian.net/browse/RACKAI-336" TargetMode="External"/><Relationship Id="rId10" Type="http://schemas.openxmlformats.org/officeDocument/2006/relationships/hyperlink" Target="https://rackspace.atlassian.net/browse/RACKAI-311" TargetMode="External"/><Relationship Id="rId4" Type="http://schemas.openxmlformats.org/officeDocument/2006/relationships/hyperlink" Target="https://raxglobal.sharepoint.com/:w:/r/sites/RackAI/Shared%20Documents/General/RackAI/Product%20Requirements%20%26%20Tech%20Specs/PRD/Accelerator_Selection_TechSpec.docx?d=wbfb5a856f650466d8d59d17eb403c862&amp;csf=1&amp;web=1&amp;e=ITt87z" TargetMode="External"/><Relationship Id="rId9" Type="http://schemas.openxmlformats.org/officeDocument/2006/relationships/hyperlink" Target="https://rackspace.atlassian.net/browse/RACKAI-258" TargetMode="External"/><Relationship Id="rId14" Type="http://schemas.openxmlformats.org/officeDocument/2006/relationships/hyperlink" Target="https://rackspace.atlassian.net/browse/RACKAI-269"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37"/>
  <sheetViews>
    <sheetView zoomScale="141" workbookViewId="0">
      <pane ySplit="1" topLeftCell="A5" activePane="bottomLeft" state="frozen"/>
      <selection pane="bottomLeft" activeCell="A6" sqref="A6"/>
    </sheetView>
  </sheetViews>
  <sheetFormatPr baseColWidth="10" defaultColWidth="12.6640625" defaultRowHeight="15.75" customHeight="1" x14ac:dyDescent="0.15"/>
  <cols>
    <col min="1" max="1" width="18.83203125" customWidth="1"/>
    <col min="2" max="2" width="56.1640625" customWidth="1"/>
    <col min="3" max="3" width="11.1640625" customWidth="1"/>
    <col min="4" max="4" width="10.6640625" customWidth="1"/>
    <col min="5" max="5" width="12.83203125" customWidth="1"/>
    <col min="6" max="6" width="12.1640625" customWidth="1"/>
    <col min="7" max="7" width="16.6640625" customWidth="1"/>
    <col min="8" max="8" width="10.1640625" customWidth="1"/>
    <col min="9" max="9" width="31.5" customWidth="1"/>
    <col min="10" max="10" width="30.33203125" customWidth="1"/>
  </cols>
  <sheetData>
    <row r="1" spans="1:28" ht="22.5" customHeight="1" x14ac:dyDescent="0.15">
      <c r="A1" s="1" t="s">
        <v>0</v>
      </c>
      <c r="B1" s="1" t="s">
        <v>1</v>
      </c>
      <c r="C1" s="1" t="s">
        <v>2</v>
      </c>
      <c r="D1" s="1" t="s">
        <v>3</v>
      </c>
      <c r="E1" s="1" t="s">
        <v>4</v>
      </c>
      <c r="F1" s="1" t="s">
        <v>5</v>
      </c>
      <c r="G1" s="1" t="s">
        <v>6</v>
      </c>
      <c r="H1" s="1" t="s">
        <v>7</v>
      </c>
      <c r="I1" s="1" t="s">
        <v>8</v>
      </c>
    </row>
    <row r="2" spans="1:28" ht="22.5" customHeight="1" x14ac:dyDescent="0.15">
      <c r="A2" s="2" t="s">
        <v>9</v>
      </c>
      <c r="B2" s="3" t="s">
        <v>10</v>
      </c>
      <c r="C2" s="3" t="s">
        <v>11</v>
      </c>
      <c r="D2" s="3" t="s">
        <v>12</v>
      </c>
      <c r="E2" s="45">
        <v>46098</v>
      </c>
      <c r="F2" s="45">
        <v>46100</v>
      </c>
      <c r="G2" s="49" t="s">
        <v>13</v>
      </c>
      <c r="H2" s="3" t="s">
        <v>14</v>
      </c>
      <c r="I2" s="4" t="s">
        <v>15</v>
      </c>
    </row>
    <row r="3" spans="1:28" ht="22.5" customHeight="1" x14ac:dyDescent="0.15">
      <c r="A3" s="2"/>
      <c r="B3" s="3" t="s">
        <v>16</v>
      </c>
      <c r="C3" s="3" t="s">
        <v>11</v>
      </c>
      <c r="D3" s="3" t="s">
        <v>12</v>
      </c>
      <c r="E3" s="45">
        <v>46100</v>
      </c>
      <c r="F3" s="45">
        <v>46104</v>
      </c>
      <c r="G3" s="49" t="s">
        <v>17</v>
      </c>
      <c r="H3" s="3" t="s">
        <v>14</v>
      </c>
      <c r="I3" s="5"/>
    </row>
    <row r="4" spans="1:28" ht="98" x14ac:dyDescent="0.15">
      <c r="A4" s="2"/>
      <c r="B4" s="3" t="s">
        <v>18</v>
      </c>
      <c r="C4" s="3" t="s">
        <v>11</v>
      </c>
      <c r="D4" s="3" t="s">
        <v>12</v>
      </c>
      <c r="E4" s="40" t="s">
        <v>19</v>
      </c>
      <c r="F4" s="41" t="s">
        <v>19</v>
      </c>
      <c r="G4" s="41" t="s">
        <v>20</v>
      </c>
      <c r="H4" s="39" t="s">
        <v>19</v>
      </c>
      <c r="I4" s="42" t="s">
        <v>21</v>
      </c>
    </row>
    <row r="5" spans="1:28" ht="98" x14ac:dyDescent="0.15">
      <c r="A5" s="2"/>
      <c r="B5" s="3" t="s">
        <v>22</v>
      </c>
      <c r="C5" s="3" t="s">
        <v>11</v>
      </c>
      <c r="D5" s="3" t="s">
        <v>12</v>
      </c>
      <c r="E5" s="40" t="s">
        <v>19</v>
      </c>
      <c r="F5" s="41" t="s">
        <v>19</v>
      </c>
      <c r="G5" s="41" t="s">
        <v>20</v>
      </c>
      <c r="H5" s="39" t="s">
        <v>19</v>
      </c>
      <c r="I5" s="42" t="s">
        <v>23</v>
      </c>
    </row>
    <row r="6" spans="1:28" ht="22.5" customHeight="1" x14ac:dyDescent="0.15">
      <c r="A6" s="6"/>
      <c r="B6" s="7" t="s">
        <v>24</v>
      </c>
      <c r="C6" s="3" t="s">
        <v>11</v>
      </c>
      <c r="D6" s="7" t="s">
        <v>12</v>
      </c>
      <c r="E6" s="46">
        <v>46104</v>
      </c>
      <c r="F6" s="46">
        <v>46108</v>
      </c>
      <c r="G6" s="58" t="s">
        <v>17</v>
      </c>
      <c r="H6" s="7" t="s">
        <v>14</v>
      </c>
      <c r="I6" s="8" t="s">
        <v>25</v>
      </c>
    </row>
    <row r="7" spans="1:28" ht="22.5" customHeight="1" x14ac:dyDescent="0.15">
      <c r="A7" s="6"/>
      <c r="B7" s="7" t="s">
        <v>26</v>
      </c>
      <c r="C7" s="3" t="s">
        <v>11</v>
      </c>
      <c r="D7" s="7" t="s">
        <v>12</v>
      </c>
      <c r="E7" s="46">
        <v>46113</v>
      </c>
      <c r="F7" s="46">
        <v>46120</v>
      </c>
      <c r="G7" s="58" t="s">
        <v>20</v>
      </c>
      <c r="H7" s="7" t="s">
        <v>27</v>
      </c>
      <c r="I7" s="8"/>
    </row>
    <row r="8" spans="1:28" ht="154" x14ac:dyDescent="0.15">
      <c r="A8" s="6" t="s">
        <v>28</v>
      </c>
      <c r="B8" s="7" t="s">
        <v>29</v>
      </c>
      <c r="C8" s="3" t="s">
        <v>11</v>
      </c>
      <c r="D8" s="7" t="s">
        <v>12</v>
      </c>
      <c r="E8" s="40" t="s">
        <v>19</v>
      </c>
      <c r="F8" s="41" t="s">
        <v>19</v>
      </c>
      <c r="G8" s="41" t="s">
        <v>20</v>
      </c>
      <c r="H8" s="38" t="s">
        <v>30</v>
      </c>
      <c r="I8" s="43" t="s">
        <v>31</v>
      </c>
      <c r="J8" s="9"/>
      <c r="K8" s="9"/>
      <c r="L8" s="9"/>
      <c r="M8" s="9"/>
      <c r="N8" s="9"/>
      <c r="O8" s="9"/>
      <c r="P8" s="9"/>
      <c r="Q8" s="9"/>
      <c r="R8" s="9"/>
      <c r="S8" s="9"/>
      <c r="T8" s="9"/>
      <c r="U8" s="9"/>
      <c r="V8" s="9"/>
      <c r="W8" s="9"/>
      <c r="X8" s="9"/>
      <c r="Y8" s="9"/>
      <c r="Z8" s="9"/>
      <c r="AA8" s="9"/>
      <c r="AB8" s="9"/>
    </row>
    <row r="9" spans="1:28" ht="22.5" customHeight="1" x14ac:dyDescent="0.15">
      <c r="A9" s="2" t="s">
        <v>32</v>
      </c>
      <c r="B9" s="3" t="s">
        <v>33</v>
      </c>
      <c r="C9" s="3" t="s">
        <v>11</v>
      </c>
      <c r="D9" s="3" t="s">
        <v>12</v>
      </c>
      <c r="E9" s="45">
        <v>46097</v>
      </c>
      <c r="F9" s="45">
        <v>46104</v>
      </c>
      <c r="G9" s="49" t="s">
        <v>17</v>
      </c>
      <c r="H9" s="3" t="s">
        <v>34</v>
      </c>
      <c r="I9" s="42"/>
    </row>
    <row r="10" spans="1:28" ht="22.5" customHeight="1" x14ac:dyDescent="0.15">
      <c r="A10" s="2"/>
      <c r="B10" s="3" t="s">
        <v>35</v>
      </c>
      <c r="C10" s="3" t="s">
        <v>11</v>
      </c>
      <c r="D10" s="3" t="s">
        <v>12</v>
      </c>
      <c r="E10" s="47">
        <v>46105</v>
      </c>
      <c r="F10" s="47">
        <v>46111</v>
      </c>
      <c r="G10" s="49" t="s">
        <v>20</v>
      </c>
      <c r="H10" s="3" t="s">
        <v>34</v>
      </c>
      <c r="I10" s="42" t="s">
        <v>36</v>
      </c>
    </row>
    <row r="11" spans="1:28" ht="22.5" customHeight="1" x14ac:dyDescent="0.15">
      <c r="A11" s="2"/>
      <c r="B11" s="2" t="s">
        <v>37</v>
      </c>
      <c r="C11" s="3" t="s">
        <v>11</v>
      </c>
      <c r="D11" s="10" t="s">
        <v>12</v>
      </c>
      <c r="E11" s="48">
        <v>46097</v>
      </c>
      <c r="F11" s="45">
        <v>46104</v>
      </c>
      <c r="G11" s="50" t="s">
        <v>17</v>
      </c>
      <c r="H11" s="2" t="s">
        <v>34</v>
      </c>
      <c r="I11" s="44"/>
      <c r="J11" s="9"/>
      <c r="K11" s="9"/>
      <c r="L11" s="9"/>
      <c r="M11" s="9"/>
      <c r="N11" s="9"/>
      <c r="O11" s="9"/>
      <c r="P11" s="9"/>
      <c r="Q11" s="9"/>
      <c r="R11" s="9"/>
      <c r="S11" s="9"/>
      <c r="T11" s="9"/>
      <c r="U11" s="9"/>
      <c r="V11" s="9"/>
      <c r="W11" s="9"/>
      <c r="X11" s="9"/>
      <c r="Y11" s="9"/>
      <c r="Z11" s="9"/>
      <c r="AA11" s="9"/>
      <c r="AB11" s="9"/>
    </row>
    <row r="12" spans="1:28" ht="22.5" customHeight="1" x14ac:dyDescent="0.15">
      <c r="A12" s="6"/>
      <c r="B12" s="7" t="s">
        <v>38</v>
      </c>
      <c r="C12" s="3" t="s">
        <v>11</v>
      </c>
      <c r="D12" s="7" t="s">
        <v>12</v>
      </c>
      <c r="E12" s="40" t="s">
        <v>19</v>
      </c>
      <c r="F12" s="41" t="s">
        <v>19</v>
      </c>
      <c r="G12" s="41" t="s">
        <v>20</v>
      </c>
      <c r="H12" s="39" t="s">
        <v>19</v>
      </c>
      <c r="I12" s="43" t="s">
        <v>39</v>
      </c>
    </row>
    <row r="13" spans="1:28" ht="22.5" customHeight="1" x14ac:dyDescent="0.15">
      <c r="A13" s="2" t="s">
        <v>40</v>
      </c>
      <c r="B13" s="3" t="s">
        <v>41</v>
      </c>
      <c r="C13" s="3" t="s">
        <v>11</v>
      </c>
      <c r="D13" s="3" t="s">
        <v>12</v>
      </c>
      <c r="E13" s="45">
        <v>46098</v>
      </c>
      <c r="F13" s="45">
        <v>46119</v>
      </c>
      <c r="G13" s="49" t="s">
        <v>17</v>
      </c>
      <c r="H13" s="3" t="s">
        <v>42</v>
      </c>
      <c r="I13" s="5"/>
    </row>
    <row r="14" spans="1:28" ht="22.5" customHeight="1" x14ac:dyDescent="0.15">
      <c r="A14" s="2"/>
      <c r="B14" s="3" t="s">
        <v>43</v>
      </c>
      <c r="C14" s="3" t="s">
        <v>11</v>
      </c>
      <c r="D14" s="3" t="s">
        <v>12</v>
      </c>
      <c r="E14" s="45">
        <v>46098</v>
      </c>
      <c r="F14" s="45">
        <v>46112</v>
      </c>
      <c r="G14" s="59" t="s">
        <v>17</v>
      </c>
      <c r="H14" s="3" t="s">
        <v>44</v>
      </c>
      <c r="I14" s="5" t="s">
        <v>45</v>
      </c>
    </row>
    <row r="15" spans="1:28" ht="22.5" customHeight="1" x14ac:dyDescent="0.15">
      <c r="A15" s="2"/>
      <c r="B15" s="3" t="s">
        <v>46</v>
      </c>
      <c r="C15" s="3" t="s">
        <v>11</v>
      </c>
      <c r="D15" s="3" t="s">
        <v>12</v>
      </c>
      <c r="E15" s="45">
        <v>46113</v>
      </c>
      <c r="F15" s="45">
        <v>46118</v>
      </c>
      <c r="G15" s="49" t="s">
        <v>20</v>
      </c>
      <c r="H15" s="3" t="s">
        <v>44</v>
      </c>
      <c r="I15" s="5"/>
    </row>
    <row r="16" spans="1:28" ht="22.5" customHeight="1" x14ac:dyDescent="0.15">
      <c r="A16" s="2"/>
      <c r="B16" s="3" t="s">
        <v>47</v>
      </c>
      <c r="C16" s="3" t="s">
        <v>11</v>
      </c>
      <c r="D16" s="3" t="s">
        <v>12</v>
      </c>
      <c r="E16" s="45">
        <v>46119</v>
      </c>
      <c r="F16" s="45">
        <v>46128</v>
      </c>
      <c r="G16" s="49" t="s">
        <v>20</v>
      </c>
      <c r="H16" s="3" t="s">
        <v>44</v>
      </c>
      <c r="I16" s="5"/>
    </row>
    <row r="17" spans="1:28" ht="32.25" customHeight="1" x14ac:dyDescent="0.15">
      <c r="A17" s="2"/>
      <c r="B17" s="3" t="s">
        <v>48</v>
      </c>
      <c r="C17" s="3" t="s">
        <v>11</v>
      </c>
      <c r="D17" s="3" t="s">
        <v>12</v>
      </c>
      <c r="E17" s="45">
        <v>46113</v>
      </c>
      <c r="F17" s="45">
        <v>46127</v>
      </c>
      <c r="G17" s="49" t="s">
        <v>20</v>
      </c>
      <c r="H17" s="3" t="s">
        <v>14</v>
      </c>
      <c r="I17" s="5"/>
    </row>
    <row r="18" spans="1:28" ht="40.5" customHeight="1" x14ac:dyDescent="0.15">
      <c r="A18" s="2"/>
      <c r="B18" s="3" t="s">
        <v>49</v>
      </c>
      <c r="C18" s="3" t="s">
        <v>50</v>
      </c>
      <c r="D18" s="3" t="s">
        <v>12</v>
      </c>
      <c r="E18" s="40" t="s">
        <v>19</v>
      </c>
      <c r="F18" s="41" t="s">
        <v>19</v>
      </c>
      <c r="G18" s="41" t="s">
        <v>20</v>
      </c>
      <c r="H18" s="38" t="s">
        <v>30</v>
      </c>
      <c r="I18" s="5" t="s">
        <v>51</v>
      </c>
    </row>
    <row r="19" spans="1:28" ht="28" x14ac:dyDescent="0.15">
      <c r="A19" s="2"/>
      <c r="B19" s="3" t="s">
        <v>52</v>
      </c>
      <c r="C19" s="3" t="s">
        <v>50</v>
      </c>
      <c r="D19" s="3" t="s">
        <v>12</v>
      </c>
      <c r="E19" s="40" t="s">
        <v>19</v>
      </c>
      <c r="F19" s="41" t="s">
        <v>19</v>
      </c>
      <c r="G19" s="41" t="s">
        <v>20</v>
      </c>
      <c r="H19" s="38" t="s">
        <v>30</v>
      </c>
      <c r="I19" s="5" t="s">
        <v>51</v>
      </c>
      <c r="J19" s="9"/>
      <c r="K19" s="9"/>
      <c r="L19" s="9"/>
      <c r="M19" s="9"/>
      <c r="N19" s="9"/>
      <c r="O19" s="9"/>
      <c r="P19" s="9"/>
      <c r="Q19" s="9"/>
      <c r="R19" s="9"/>
      <c r="S19" s="9"/>
      <c r="T19" s="9"/>
      <c r="U19" s="9"/>
      <c r="V19" s="9"/>
      <c r="W19" s="9"/>
      <c r="X19" s="9"/>
      <c r="Y19" s="9"/>
      <c r="Z19" s="9"/>
      <c r="AA19" s="9"/>
      <c r="AB19" s="9"/>
    </row>
    <row r="20" spans="1:28" ht="56" x14ac:dyDescent="0.15">
      <c r="A20" s="2"/>
      <c r="B20" s="3" t="s">
        <v>53</v>
      </c>
      <c r="C20" s="3" t="s">
        <v>50</v>
      </c>
      <c r="D20" s="3" t="s">
        <v>12</v>
      </c>
      <c r="E20" s="40" t="s">
        <v>19</v>
      </c>
      <c r="F20" s="41" t="s">
        <v>19</v>
      </c>
      <c r="G20" s="41" t="s">
        <v>20</v>
      </c>
      <c r="H20" s="38" t="s">
        <v>30</v>
      </c>
      <c r="I20" s="5" t="s">
        <v>54</v>
      </c>
    </row>
    <row r="21" spans="1:28" ht="22.5" customHeight="1" x14ac:dyDescent="0.15">
      <c r="A21" s="6"/>
      <c r="B21" s="7" t="s">
        <v>55</v>
      </c>
      <c r="C21" s="3" t="s">
        <v>50</v>
      </c>
      <c r="D21" s="7" t="s">
        <v>12</v>
      </c>
      <c r="E21" s="40" t="s">
        <v>19</v>
      </c>
      <c r="F21" s="41" t="s">
        <v>19</v>
      </c>
      <c r="G21" s="41" t="s">
        <v>20</v>
      </c>
      <c r="H21" s="7" t="s">
        <v>27</v>
      </c>
      <c r="I21" s="8"/>
    </row>
    <row r="22" spans="1:28" ht="22.5" customHeight="1" x14ac:dyDescent="0.15">
      <c r="A22" s="2" t="s">
        <v>56</v>
      </c>
      <c r="B22" s="3" t="s">
        <v>57</v>
      </c>
      <c r="C22" s="3" t="s">
        <v>11</v>
      </c>
      <c r="D22" s="3" t="s">
        <v>12</v>
      </c>
      <c r="E22" s="45">
        <v>46113</v>
      </c>
      <c r="F22" s="45">
        <v>46119</v>
      </c>
      <c r="G22" s="49" t="s">
        <v>20</v>
      </c>
      <c r="H22" s="3" t="s">
        <v>34</v>
      </c>
      <c r="I22" s="42" t="s">
        <v>58</v>
      </c>
    </row>
    <row r="23" spans="1:28" ht="22.5" customHeight="1" x14ac:dyDescent="0.15">
      <c r="A23" s="2"/>
      <c r="B23" s="3" t="s">
        <v>59</v>
      </c>
      <c r="C23" s="3" t="s">
        <v>11</v>
      </c>
      <c r="D23" s="3" t="s">
        <v>12</v>
      </c>
      <c r="E23" s="45">
        <v>46120</v>
      </c>
      <c r="F23" s="45">
        <v>46127</v>
      </c>
      <c r="G23" s="49" t="s">
        <v>20</v>
      </c>
      <c r="H23" s="3" t="s">
        <v>34</v>
      </c>
      <c r="I23" s="5"/>
      <c r="J23" s="9"/>
      <c r="K23" s="9"/>
      <c r="L23" s="9"/>
      <c r="M23" s="9"/>
      <c r="N23" s="9"/>
      <c r="O23" s="9"/>
      <c r="P23" s="9"/>
      <c r="Q23" s="9"/>
      <c r="R23" s="9"/>
      <c r="S23" s="9"/>
      <c r="T23" s="9"/>
      <c r="U23" s="9"/>
      <c r="V23" s="9"/>
      <c r="W23" s="9"/>
      <c r="X23" s="9"/>
      <c r="Y23" s="9"/>
      <c r="Z23" s="9"/>
      <c r="AA23" s="9"/>
      <c r="AB23" s="9"/>
    </row>
    <row r="24" spans="1:28" ht="22.5" customHeight="1" x14ac:dyDescent="0.15">
      <c r="A24" s="6"/>
      <c r="B24" s="7" t="s">
        <v>60</v>
      </c>
      <c r="C24" s="3" t="s">
        <v>11</v>
      </c>
      <c r="D24" s="7" t="s">
        <v>12</v>
      </c>
      <c r="E24" s="40" t="s">
        <v>19</v>
      </c>
      <c r="F24" s="41" t="s">
        <v>19</v>
      </c>
      <c r="G24" s="49" t="s">
        <v>20</v>
      </c>
      <c r="H24" s="7" t="s">
        <v>27</v>
      </c>
    </row>
    <row r="25" spans="1:28" ht="22.5" customHeight="1" x14ac:dyDescent="0.15">
      <c r="A25" s="2" t="s">
        <v>61</v>
      </c>
      <c r="B25" s="3" t="s">
        <v>62</v>
      </c>
      <c r="C25" s="3" t="s">
        <v>63</v>
      </c>
      <c r="D25" s="3" t="s">
        <v>64</v>
      </c>
      <c r="E25" s="40" t="s">
        <v>19</v>
      </c>
      <c r="F25" s="41" t="s">
        <v>19</v>
      </c>
      <c r="G25" s="41" t="s">
        <v>20</v>
      </c>
      <c r="H25" s="39" t="s">
        <v>19</v>
      </c>
      <c r="I25" s="5" t="s">
        <v>65</v>
      </c>
    </row>
    <row r="26" spans="1:28" ht="22.5" customHeight="1" x14ac:dyDescent="0.15">
      <c r="A26" s="2"/>
      <c r="B26" s="3" t="s">
        <v>66</v>
      </c>
      <c r="C26" s="3" t="s">
        <v>63</v>
      </c>
      <c r="D26" s="3" t="s">
        <v>64</v>
      </c>
      <c r="E26" s="40" t="s">
        <v>19</v>
      </c>
      <c r="F26" s="41" t="s">
        <v>19</v>
      </c>
      <c r="G26" s="41" t="s">
        <v>20</v>
      </c>
      <c r="H26" s="39" t="s">
        <v>19</v>
      </c>
      <c r="I26" s="5" t="s">
        <v>65</v>
      </c>
      <c r="J26" s="9"/>
      <c r="K26" s="9"/>
      <c r="L26" s="9"/>
      <c r="M26" s="9"/>
      <c r="N26" s="9"/>
      <c r="O26" s="9"/>
      <c r="P26" s="9"/>
      <c r="Q26" s="9"/>
      <c r="R26" s="9"/>
      <c r="S26" s="9"/>
      <c r="T26" s="9"/>
      <c r="U26" s="9"/>
      <c r="V26" s="9"/>
      <c r="W26" s="9"/>
      <c r="X26" s="9"/>
      <c r="Y26" s="9"/>
      <c r="Z26" s="9"/>
      <c r="AA26" s="9"/>
      <c r="AB26" s="9"/>
    </row>
    <row r="27" spans="1:28" ht="22.5" customHeight="1" x14ac:dyDescent="0.15">
      <c r="A27" s="6"/>
      <c r="B27" s="7" t="s">
        <v>67</v>
      </c>
      <c r="C27" s="7" t="s">
        <v>63</v>
      </c>
      <c r="D27" s="7" t="s">
        <v>64</v>
      </c>
      <c r="E27" s="40" t="s">
        <v>19</v>
      </c>
      <c r="F27" s="41" t="s">
        <v>19</v>
      </c>
      <c r="G27" s="41" t="s">
        <v>20</v>
      </c>
      <c r="H27" s="38" t="s">
        <v>19</v>
      </c>
      <c r="I27" s="5" t="s">
        <v>65</v>
      </c>
    </row>
    <row r="28" spans="1:28" ht="22.5" customHeight="1" x14ac:dyDescent="0.15">
      <c r="A28" s="2"/>
      <c r="B28" s="3"/>
      <c r="C28" s="3"/>
      <c r="D28" s="3"/>
      <c r="E28" s="3"/>
      <c r="F28" s="3"/>
      <c r="G28" s="3"/>
      <c r="H28" s="3"/>
      <c r="I28" s="5"/>
    </row>
    <row r="29" spans="1:28" ht="22.5" customHeight="1" x14ac:dyDescent="0.15">
      <c r="A29" s="2"/>
      <c r="B29" s="3"/>
      <c r="C29" s="3"/>
      <c r="D29" s="3"/>
      <c r="E29" s="3"/>
      <c r="F29" s="3"/>
      <c r="G29" s="3"/>
      <c r="H29" s="3"/>
      <c r="I29" s="5"/>
    </row>
    <row r="30" spans="1:28" ht="22.5" customHeight="1" x14ac:dyDescent="0.15">
      <c r="A30" s="2"/>
      <c r="B30" s="3"/>
      <c r="C30" s="3"/>
      <c r="D30" s="3"/>
      <c r="E30" s="3"/>
      <c r="F30" s="3"/>
      <c r="G30" s="3"/>
      <c r="H30" s="3"/>
      <c r="I30" s="5"/>
    </row>
    <row r="31" spans="1:28" ht="22.5" customHeight="1" x14ac:dyDescent="0.15">
      <c r="A31" s="2"/>
      <c r="B31" s="3"/>
      <c r="C31" s="3"/>
      <c r="D31" s="3"/>
      <c r="E31" s="3"/>
      <c r="F31" s="3"/>
      <c r="G31" s="3"/>
      <c r="H31" s="3"/>
      <c r="I31" s="5"/>
    </row>
    <row r="32" spans="1:28" ht="22.5" customHeight="1" x14ac:dyDescent="0.15">
      <c r="A32" s="2"/>
      <c r="B32" s="3"/>
      <c r="C32" s="3"/>
      <c r="D32" s="3"/>
      <c r="E32" s="3"/>
      <c r="F32" s="3"/>
      <c r="G32" s="3"/>
      <c r="H32" s="3"/>
      <c r="I32" s="5"/>
    </row>
    <row r="33" spans="1:9" ht="22.5" customHeight="1" x14ac:dyDescent="0.15">
      <c r="A33" s="10"/>
      <c r="B33" s="10"/>
      <c r="C33" s="10"/>
      <c r="D33" s="10"/>
      <c r="E33" s="10"/>
      <c r="F33" s="10"/>
      <c r="G33" s="10"/>
      <c r="H33" s="10"/>
      <c r="I33" s="10"/>
    </row>
    <row r="34" spans="1:9" ht="22.5" customHeight="1" x14ac:dyDescent="0.15">
      <c r="A34" s="11"/>
      <c r="B34" s="11"/>
      <c r="C34" s="11"/>
      <c r="D34" s="11"/>
      <c r="E34" s="11"/>
      <c r="F34" s="11"/>
      <c r="G34" s="11"/>
      <c r="H34" s="11"/>
      <c r="I34" s="11"/>
    </row>
    <row r="37" spans="1:9" ht="15.75" customHeight="1" x14ac:dyDescent="0.15">
      <c r="B37" s="56" t="s">
        <v>68</v>
      </c>
    </row>
  </sheetData>
  <hyperlinks>
    <hyperlink ref="I2"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86958-F726-B84D-AA55-6CB93695DF4D}">
  <dimension ref="A1:AY56"/>
  <sheetViews>
    <sheetView showGridLines="0" tabSelected="1" topLeftCell="C1" zoomScale="136" zoomScaleNormal="100" workbookViewId="0">
      <pane ySplit="5" topLeftCell="A6" activePane="bottomLeft" state="frozen"/>
      <selection pane="bottomLeft" activeCell="E27" sqref="E27"/>
    </sheetView>
  </sheetViews>
  <sheetFormatPr baseColWidth="10" defaultColWidth="8.6640625" defaultRowHeight="15" x14ac:dyDescent="0.2"/>
  <cols>
    <col min="1" max="1" width="48.33203125" style="68" customWidth="1"/>
    <col min="2" max="2" width="13.6640625" style="68" bestFit="1" customWidth="1"/>
    <col min="3" max="3" width="72" style="68" customWidth="1"/>
    <col min="4" max="4" width="11.83203125" style="68" bestFit="1" customWidth="1"/>
    <col min="5" max="5" width="11.83203125" style="68" customWidth="1"/>
    <col min="6" max="6" width="19.33203125" style="68" customWidth="1"/>
    <col min="7" max="7" width="11.83203125" style="68" customWidth="1"/>
    <col min="8" max="8" width="3.5" style="68" bestFit="1" customWidth="1"/>
    <col min="9" max="9" width="8.5" style="68" bestFit="1" customWidth="1"/>
    <col min="10" max="10" width="5.5" style="68" bestFit="1" customWidth="1"/>
    <col min="11" max="11" width="8.1640625" style="68" bestFit="1" customWidth="1"/>
    <col min="12" max="12" width="26.6640625" style="68" customWidth="1"/>
    <col min="13" max="51" width="5.6640625" style="68" customWidth="1"/>
    <col min="52" max="16384" width="8.6640625" style="68"/>
  </cols>
  <sheetData>
    <row r="1" spans="1:51" ht="19" x14ac:dyDescent="0.2">
      <c r="A1" s="125" t="s">
        <v>69</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row>
    <row r="2" spans="1:51" x14ac:dyDescent="0.2">
      <c r="A2" s="126" t="s">
        <v>70</v>
      </c>
      <c r="B2" s="126"/>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row>
    <row r="4" spans="1:51" x14ac:dyDescent="0.2">
      <c r="A4" s="127" t="s">
        <v>71</v>
      </c>
      <c r="B4" s="127"/>
      <c r="C4" s="127"/>
      <c r="D4" s="127"/>
      <c r="E4" s="127"/>
      <c r="F4" s="127"/>
      <c r="G4" s="127"/>
      <c r="H4" s="127"/>
      <c r="I4" s="127"/>
      <c r="J4" s="127"/>
      <c r="K4" s="127"/>
      <c r="L4" s="127"/>
      <c r="M4" s="117" t="s">
        <v>72</v>
      </c>
      <c r="N4" s="117"/>
      <c r="O4" s="117"/>
      <c r="P4" s="117"/>
      <c r="Q4" s="117"/>
      <c r="R4" s="117" t="s">
        <v>73</v>
      </c>
      <c r="S4" s="117"/>
      <c r="T4" s="117"/>
      <c r="U4" s="117"/>
      <c r="V4" s="117" t="s">
        <v>74</v>
      </c>
      <c r="W4" s="117"/>
      <c r="X4" s="117"/>
      <c r="Y4" s="117"/>
      <c r="Z4" s="117"/>
      <c r="AA4" s="117" t="s">
        <v>75</v>
      </c>
      <c r="AB4" s="117"/>
      <c r="AC4" s="117"/>
      <c r="AD4" s="117"/>
      <c r="AE4" s="117" t="s">
        <v>76</v>
      </c>
      <c r="AF4" s="117"/>
      <c r="AG4" s="117"/>
      <c r="AH4" s="117"/>
      <c r="AI4" s="117" t="s">
        <v>77</v>
      </c>
      <c r="AJ4" s="117"/>
      <c r="AK4" s="117"/>
      <c r="AL4" s="117"/>
      <c r="AM4" s="117"/>
      <c r="AN4" s="117" t="s">
        <v>78</v>
      </c>
      <c r="AO4" s="117"/>
      <c r="AP4" s="117"/>
      <c r="AQ4" s="117"/>
      <c r="AR4" s="117" t="s">
        <v>79</v>
      </c>
      <c r="AS4" s="117"/>
      <c r="AT4" s="117"/>
      <c r="AU4" s="117"/>
      <c r="AV4" s="117" t="s">
        <v>80</v>
      </c>
      <c r="AW4" s="117"/>
      <c r="AX4" s="117"/>
      <c r="AY4" s="117"/>
    </row>
    <row r="5" spans="1:51" x14ac:dyDescent="0.2">
      <c r="A5" s="69" t="s">
        <v>81</v>
      </c>
      <c r="B5" s="69" t="s">
        <v>82</v>
      </c>
      <c r="C5" s="69" t="s">
        <v>83</v>
      </c>
      <c r="D5" s="69" t="s">
        <v>84</v>
      </c>
      <c r="E5" s="69" t="s">
        <v>85</v>
      </c>
      <c r="F5" s="69" t="s">
        <v>366</v>
      </c>
      <c r="G5" s="69" t="s">
        <v>6</v>
      </c>
      <c r="H5" s="69" t="s">
        <v>86</v>
      </c>
      <c r="I5" s="99" t="s">
        <v>87</v>
      </c>
      <c r="J5" s="99" t="s">
        <v>88</v>
      </c>
      <c r="K5" s="99" t="s">
        <v>89</v>
      </c>
      <c r="L5" s="69" t="s">
        <v>90</v>
      </c>
      <c r="M5" s="94" t="s">
        <v>91</v>
      </c>
      <c r="N5" s="94" t="s">
        <v>92</v>
      </c>
      <c r="O5" s="94" t="s">
        <v>93</v>
      </c>
      <c r="P5" s="94" t="s">
        <v>94</v>
      </c>
      <c r="Q5" s="95" t="s">
        <v>95</v>
      </c>
      <c r="R5" s="94" t="s">
        <v>96</v>
      </c>
      <c r="S5" s="94" t="s">
        <v>97</v>
      </c>
      <c r="T5" s="94" t="s">
        <v>98</v>
      </c>
      <c r="U5" s="95" t="s">
        <v>99</v>
      </c>
      <c r="V5" s="94" t="s">
        <v>100</v>
      </c>
      <c r="W5" s="94" t="s">
        <v>101</v>
      </c>
      <c r="X5" s="94" t="s">
        <v>102</v>
      </c>
      <c r="Y5" s="94" t="s">
        <v>103</v>
      </c>
      <c r="Z5" s="95" t="s">
        <v>104</v>
      </c>
      <c r="AA5" s="94" t="s">
        <v>105</v>
      </c>
      <c r="AB5" s="94" t="s">
        <v>106</v>
      </c>
      <c r="AC5" s="94" t="s">
        <v>107</v>
      </c>
      <c r="AD5" s="95" t="s">
        <v>108</v>
      </c>
      <c r="AE5" s="94" t="s">
        <v>109</v>
      </c>
      <c r="AF5" s="94" t="s">
        <v>110</v>
      </c>
      <c r="AG5" s="94" t="s">
        <v>111</v>
      </c>
      <c r="AH5" s="95" t="s">
        <v>112</v>
      </c>
      <c r="AI5" s="94" t="s">
        <v>113</v>
      </c>
      <c r="AJ5" s="94" t="s">
        <v>114</v>
      </c>
      <c r="AK5" s="94" t="s">
        <v>115</v>
      </c>
      <c r="AL5" s="94" t="s">
        <v>116</v>
      </c>
      <c r="AM5" s="95" t="s">
        <v>117</v>
      </c>
      <c r="AN5" s="94" t="s">
        <v>118</v>
      </c>
      <c r="AO5" s="94" t="s">
        <v>119</v>
      </c>
      <c r="AP5" s="94" t="s">
        <v>120</v>
      </c>
      <c r="AQ5" s="95" t="s">
        <v>121</v>
      </c>
      <c r="AR5" s="94" t="s">
        <v>122</v>
      </c>
      <c r="AS5" s="94" t="s">
        <v>123</v>
      </c>
      <c r="AT5" s="94" t="s">
        <v>124</v>
      </c>
      <c r="AU5" s="95" t="s">
        <v>125</v>
      </c>
      <c r="AV5" s="94" t="s">
        <v>126</v>
      </c>
      <c r="AW5" s="94" t="s">
        <v>127</v>
      </c>
      <c r="AX5" s="94" t="s">
        <v>128</v>
      </c>
      <c r="AY5" s="94" t="s">
        <v>129</v>
      </c>
    </row>
    <row r="6" spans="1:51" x14ac:dyDescent="0.2">
      <c r="A6" s="118" t="s">
        <v>130</v>
      </c>
      <c r="B6" s="118"/>
      <c r="C6" s="118"/>
      <c r="D6" s="118"/>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row>
    <row r="7" spans="1:51" ht="26" customHeight="1" x14ac:dyDescent="0.2">
      <c r="A7" s="70" t="s">
        <v>131</v>
      </c>
      <c r="B7" s="70" t="s">
        <v>132</v>
      </c>
      <c r="C7" s="71" t="s">
        <v>133</v>
      </c>
      <c r="D7" s="72" t="s">
        <v>63</v>
      </c>
      <c r="E7" s="101" t="s">
        <v>134</v>
      </c>
      <c r="F7" s="113" t="s">
        <v>367</v>
      </c>
      <c r="G7" s="116" t="s">
        <v>144</v>
      </c>
      <c r="H7" s="72"/>
      <c r="I7" s="92">
        <f t="shared" ref="I7:I24" si="0">_xlfn.LET(_xlpm.gs,$J7,_xlpm.hs,$K7,_xlpm.gd,IFERROR(DATEVALUE(_xlpm.gs),""),_xlpm.hd,IFERROR(DATEVALUE(_xlpm.hs),""),_xlpm.s,IF(ISNUMBER(_xlpm.gs),_xlpm.gs,IF(_xlpm.gd="","",DATE(2026+(MONTH(_xlpm.gd)&lt;6),MONTH(_xlpm.gd),DAY(_xlpm.gd)))),_xlpm.h,IF(ISNUMBER(_xlpm.hs),_xlpm.hs,IF(_xlpm.hd="","",DATE(2026+(MONTH(_xlpm.hd)&lt;6),MONTH(_xlpm.hd),DAY(_xlpm.hd)))),IF(OR(_xlpm.s="",_xlpm.h=""),"",ROUNDUP((_xlpm.h-_xlpm.s+1)/7,0)))</f>
        <v>2</v>
      </c>
      <c r="J7" s="93" t="s">
        <v>96</v>
      </c>
      <c r="K7" s="93">
        <v>46220</v>
      </c>
      <c r="L7" s="96" t="s">
        <v>136</v>
      </c>
      <c r="M7" s="97" t="str">
        <f t="shared" ref="M7:V16" si="1">_xlfn.LET(_xlpm.gs,$J7,_xlpm.hs,$K7,_xlpm.fs,$I7,_xlpm.ms,$D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N7" s="97" t="str">
        <f t="shared" si="1"/>
        <v/>
      </c>
      <c r="O7" s="97" t="str">
        <f t="shared" si="1"/>
        <v/>
      </c>
      <c r="P7" s="97" t="str">
        <f t="shared" si="1"/>
        <v/>
      </c>
      <c r="Q7" s="97" t="str">
        <f t="shared" si="1"/>
        <v/>
      </c>
      <c r="R7" s="98" t="str">
        <f t="shared" si="1"/>
        <v>M1</v>
      </c>
      <c r="S7" s="97" t="str">
        <f t="shared" si="1"/>
        <v/>
      </c>
      <c r="T7" s="97" t="str">
        <f t="shared" si="1"/>
        <v/>
      </c>
      <c r="U7" s="97" t="str">
        <f t="shared" si="1"/>
        <v/>
      </c>
      <c r="V7" s="97" t="str">
        <f t="shared" si="1"/>
        <v/>
      </c>
      <c r="W7" s="97" t="str">
        <f t="shared" ref="W7:AF16" si="2">_xlfn.LET(_xlpm.gs,$J7,_xlpm.hs,$K7,_xlpm.fs,$I7,_xlpm.ms,$D7,_xlpm.ws,W$5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X7" s="97" t="str">
        <f t="shared" si="2"/>
        <v/>
      </c>
      <c r="Y7" s="97" t="str">
        <f t="shared" si="2"/>
        <v/>
      </c>
      <c r="Z7" s="97" t="str">
        <f t="shared" si="2"/>
        <v/>
      </c>
      <c r="AA7" s="97" t="str">
        <f t="shared" si="2"/>
        <v/>
      </c>
      <c r="AB7" s="97" t="str">
        <f t="shared" si="2"/>
        <v/>
      </c>
      <c r="AC7" s="97" t="str">
        <f t="shared" si="2"/>
        <v/>
      </c>
      <c r="AD7" s="97" t="str">
        <f t="shared" si="2"/>
        <v/>
      </c>
      <c r="AE7" s="97" t="str">
        <f t="shared" si="2"/>
        <v/>
      </c>
      <c r="AF7" s="97" t="str">
        <f t="shared" si="2"/>
        <v/>
      </c>
      <c r="AG7" s="97" t="str">
        <f t="shared" ref="AG7:AP16" si="3">_xlfn.LET(_xlpm.gs,$J7,_xlpm.hs,$K7,_xlpm.fs,$I7,_xlpm.ms,$D7,_xlpm.ws,AG$5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H7" s="97" t="str">
        <f t="shared" si="3"/>
        <v/>
      </c>
      <c r="AI7" s="97" t="str">
        <f t="shared" si="3"/>
        <v/>
      </c>
      <c r="AJ7" s="97" t="str">
        <f t="shared" si="3"/>
        <v/>
      </c>
      <c r="AK7" s="97" t="str">
        <f t="shared" si="3"/>
        <v/>
      </c>
      <c r="AL7" s="97" t="str">
        <f t="shared" si="3"/>
        <v/>
      </c>
      <c r="AM7" s="97" t="str">
        <f t="shared" si="3"/>
        <v/>
      </c>
      <c r="AN7" s="97" t="str">
        <f t="shared" si="3"/>
        <v/>
      </c>
      <c r="AO7" s="97" t="str">
        <f t="shared" si="3"/>
        <v/>
      </c>
      <c r="AP7" s="97" t="str">
        <f t="shared" si="3"/>
        <v/>
      </c>
      <c r="AQ7" s="97" t="str">
        <f t="shared" ref="AQ7:AY16" si="4">_xlfn.LET(_xlpm.gs,$J7,_xlpm.hs,$K7,_xlpm.fs,$I7,_xlpm.ms,$D7,_xlpm.ws,AQ$5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R7" s="97" t="str">
        <f t="shared" si="4"/>
        <v/>
      </c>
      <c r="AS7" s="97" t="str">
        <f t="shared" si="4"/>
        <v/>
      </c>
      <c r="AT7" s="97" t="str">
        <f t="shared" si="4"/>
        <v/>
      </c>
      <c r="AU7" s="97" t="str">
        <f t="shared" si="4"/>
        <v/>
      </c>
      <c r="AV7" s="97" t="str">
        <f t="shared" si="4"/>
        <v/>
      </c>
      <c r="AW7" s="97" t="str">
        <f t="shared" si="4"/>
        <v/>
      </c>
      <c r="AX7" s="97" t="str">
        <f t="shared" si="4"/>
        <v/>
      </c>
      <c r="AY7" s="97" t="str">
        <f t="shared" si="4"/>
        <v/>
      </c>
    </row>
    <row r="8" spans="1:51" ht="26" x14ac:dyDescent="0.2">
      <c r="A8" s="70" t="s">
        <v>131</v>
      </c>
      <c r="B8" s="70" t="s">
        <v>132</v>
      </c>
      <c r="C8" s="71" t="s">
        <v>137</v>
      </c>
      <c r="D8" s="72" t="s">
        <v>138</v>
      </c>
      <c r="E8" s="101" t="s">
        <v>139</v>
      </c>
      <c r="F8" s="113" t="s">
        <v>367</v>
      </c>
      <c r="G8" s="116" t="s">
        <v>144</v>
      </c>
      <c r="H8" s="72"/>
      <c r="I8" s="92">
        <f t="shared" si="0"/>
        <v>1</v>
      </c>
      <c r="J8" s="93">
        <v>46223</v>
      </c>
      <c r="K8" s="93">
        <v>46227</v>
      </c>
      <c r="L8" s="96" t="s">
        <v>140</v>
      </c>
      <c r="M8" s="97" t="str">
        <f t="shared" si="1"/>
        <v/>
      </c>
      <c r="N8" s="97" t="str">
        <f t="shared" si="1"/>
        <v/>
      </c>
      <c r="O8" s="97" t="str">
        <f t="shared" si="1"/>
        <v/>
      </c>
      <c r="P8" s="97" t="str">
        <f t="shared" si="1"/>
        <v/>
      </c>
      <c r="Q8" s="97" t="str">
        <f t="shared" si="1"/>
        <v/>
      </c>
      <c r="R8" s="97" t="str">
        <f t="shared" si="1"/>
        <v/>
      </c>
      <c r="S8" s="97" t="str">
        <f t="shared" si="1"/>
        <v/>
      </c>
      <c r="T8" s="97" t="str">
        <f t="shared" si="1"/>
        <v>M2</v>
      </c>
      <c r="U8" s="98" t="str">
        <f t="shared" si="1"/>
        <v/>
      </c>
      <c r="V8" s="97" t="str">
        <f t="shared" si="1"/>
        <v/>
      </c>
      <c r="W8" s="97" t="str">
        <f t="shared" si="2"/>
        <v/>
      </c>
      <c r="X8" s="97" t="str">
        <f t="shared" si="2"/>
        <v/>
      </c>
      <c r="Y8" s="97" t="str">
        <f t="shared" si="2"/>
        <v/>
      </c>
      <c r="Z8" s="97" t="str">
        <f t="shared" si="2"/>
        <v/>
      </c>
      <c r="AA8" s="97" t="str">
        <f t="shared" si="2"/>
        <v/>
      </c>
      <c r="AB8" s="97" t="str">
        <f t="shared" si="2"/>
        <v/>
      </c>
      <c r="AC8" s="97" t="str">
        <f t="shared" si="2"/>
        <v/>
      </c>
      <c r="AD8" s="97" t="str">
        <f t="shared" si="2"/>
        <v/>
      </c>
      <c r="AE8" s="97" t="str">
        <f t="shared" si="2"/>
        <v/>
      </c>
      <c r="AF8" s="97" t="str">
        <f t="shared" si="2"/>
        <v/>
      </c>
      <c r="AG8" s="97" t="str">
        <f t="shared" si="3"/>
        <v/>
      </c>
      <c r="AH8" s="97" t="str">
        <f t="shared" si="3"/>
        <v/>
      </c>
      <c r="AI8" s="97" t="str">
        <f t="shared" si="3"/>
        <v/>
      </c>
      <c r="AJ8" s="97" t="str">
        <f t="shared" si="3"/>
        <v/>
      </c>
      <c r="AK8" s="97" t="str">
        <f t="shared" si="3"/>
        <v/>
      </c>
      <c r="AL8" s="97" t="str">
        <f t="shared" si="3"/>
        <v/>
      </c>
      <c r="AM8" s="97" t="str">
        <f t="shared" si="3"/>
        <v/>
      </c>
      <c r="AN8" s="97" t="str">
        <f t="shared" si="3"/>
        <v/>
      </c>
      <c r="AO8" s="97" t="str">
        <f t="shared" si="3"/>
        <v/>
      </c>
      <c r="AP8" s="97" t="str">
        <f t="shared" si="3"/>
        <v/>
      </c>
      <c r="AQ8" s="97" t="str">
        <f t="shared" si="4"/>
        <v/>
      </c>
      <c r="AR8" s="97" t="str">
        <f t="shared" si="4"/>
        <v/>
      </c>
      <c r="AS8" s="97" t="str">
        <f t="shared" si="4"/>
        <v/>
      </c>
      <c r="AT8" s="97" t="str">
        <f t="shared" si="4"/>
        <v/>
      </c>
      <c r="AU8" s="97" t="str">
        <f t="shared" si="4"/>
        <v/>
      </c>
      <c r="AV8" s="97" t="str">
        <f t="shared" si="4"/>
        <v/>
      </c>
      <c r="AW8" s="97" t="str">
        <f t="shared" si="4"/>
        <v/>
      </c>
      <c r="AX8" s="97" t="str">
        <f t="shared" si="4"/>
        <v/>
      </c>
      <c r="AY8" s="97" t="str">
        <f t="shared" si="4"/>
        <v/>
      </c>
    </row>
    <row r="9" spans="1:51" ht="26" customHeight="1" x14ac:dyDescent="0.2">
      <c r="A9" s="70" t="s">
        <v>131</v>
      </c>
      <c r="B9" s="70" t="s">
        <v>132</v>
      </c>
      <c r="C9" s="71" t="s">
        <v>141</v>
      </c>
      <c r="D9" s="72" t="s">
        <v>142</v>
      </c>
      <c r="E9" s="101" t="s">
        <v>143</v>
      </c>
      <c r="F9" s="113" t="s">
        <v>367</v>
      </c>
      <c r="G9" s="108" t="s">
        <v>144</v>
      </c>
      <c r="H9" s="72"/>
      <c r="I9" s="92">
        <f t="shared" si="0"/>
        <v>1</v>
      </c>
      <c r="J9" s="93">
        <v>46230</v>
      </c>
      <c r="K9" s="93">
        <v>46234</v>
      </c>
      <c r="L9" s="96" t="s">
        <v>145</v>
      </c>
      <c r="M9" s="97" t="str">
        <f t="shared" si="1"/>
        <v/>
      </c>
      <c r="N9" s="97" t="str">
        <f t="shared" si="1"/>
        <v/>
      </c>
      <c r="O9" s="97" t="str">
        <f t="shared" si="1"/>
        <v/>
      </c>
      <c r="P9" s="97" t="str">
        <f t="shared" si="1"/>
        <v/>
      </c>
      <c r="Q9" s="97" t="str">
        <f t="shared" si="1"/>
        <v/>
      </c>
      <c r="R9" s="97" t="str">
        <f t="shared" si="1"/>
        <v/>
      </c>
      <c r="S9" s="97" t="str">
        <f t="shared" si="1"/>
        <v/>
      </c>
      <c r="T9" s="97" t="str">
        <f t="shared" si="1"/>
        <v/>
      </c>
      <c r="U9" s="97" t="str">
        <f t="shared" si="1"/>
        <v>M3</v>
      </c>
      <c r="V9" s="97" t="str">
        <f t="shared" si="1"/>
        <v/>
      </c>
      <c r="W9" s="97" t="str">
        <f t="shared" si="2"/>
        <v/>
      </c>
      <c r="X9" s="98" t="str">
        <f t="shared" si="2"/>
        <v/>
      </c>
      <c r="Y9" s="97" t="str">
        <f t="shared" si="2"/>
        <v/>
      </c>
      <c r="Z9" s="97" t="str">
        <f t="shared" si="2"/>
        <v/>
      </c>
      <c r="AA9" s="97" t="str">
        <f t="shared" si="2"/>
        <v/>
      </c>
      <c r="AB9" s="97" t="str">
        <f t="shared" si="2"/>
        <v/>
      </c>
      <c r="AC9" s="97" t="str">
        <f t="shared" si="2"/>
        <v/>
      </c>
      <c r="AD9" s="97" t="str">
        <f t="shared" si="2"/>
        <v/>
      </c>
      <c r="AE9" s="97" t="str">
        <f t="shared" si="2"/>
        <v/>
      </c>
      <c r="AF9" s="97" t="str">
        <f t="shared" si="2"/>
        <v/>
      </c>
      <c r="AG9" s="97" t="str">
        <f t="shared" si="3"/>
        <v/>
      </c>
      <c r="AH9" s="97" t="str">
        <f t="shared" si="3"/>
        <v/>
      </c>
      <c r="AI9" s="97" t="str">
        <f t="shared" si="3"/>
        <v/>
      </c>
      <c r="AJ9" s="97" t="str">
        <f t="shared" si="3"/>
        <v/>
      </c>
      <c r="AK9" s="97" t="str">
        <f t="shared" si="3"/>
        <v/>
      </c>
      <c r="AL9" s="97" t="str">
        <f t="shared" si="3"/>
        <v/>
      </c>
      <c r="AM9" s="97" t="str">
        <f t="shared" si="3"/>
        <v/>
      </c>
      <c r="AN9" s="97" t="str">
        <f t="shared" si="3"/>
        <v/>
      </c>
      <c r="AO9" s="97" t="str">
        <f t="shared" si="3"/>
        <v/>
      </c>
      <c r="AP9" s="97" t="str">
        <f t="shared" si="3"/>
        <v/>
      </c>
      <c r="AQ9" s="97" t="str">
        <f t="shared" si="4"/>
        <v/>
      </c>
      <c r="AR9" s="97" t="str">
        <f t="shared" si="4"/>
        <v/>
      </c>
      <c r="AS9" s="97" t="str">
        <f t="shared" si="4"/>
        <v/>
      </c>
      <c r="AT9" s="97" t="str">
        <f t="shared" si="4"/>
        <v/>
      </c>
      <c r="AU9" s="97" t="str">
        <f t="shared" si="4"/>
        <v/>
      </c>
      <c r="AV9" s="97" t="str">
        <f t="shared" si="4"/>
        <v/>
      </c>
      <c r="AW9" s="97" t="str">
        <f t="shared" si="4"/>
        <v/>
      </c>
      <c r="AX9" s="97" t="str">
        <f t="shared" si="4"/>
        <v/>
      </c>
      <c r="AY9" s="97" t="str">
        <f t="shared" si="4"/>
        <v/>
      </c>
    </row>
    <row r="10" spans="1:51" ht="26" hidden="1" customHeight="1" x14ac:dyDescent="0.2">
      <c r="A10" s="70" t="s">
        <v>131</v>
      </c>
      <c r="B10" s="70" t="s">
        <v>132</v>
      </c>
      <c r="C10" s="71" t="s">
        <v>146</v>
      </c>
      <c r="D10" s="72" t="s">
        <v>147</v>
      </c>
      <c r="E10" s="72"/>
      <c r="F10" s="112"/>
      <c r="G10" s="100" t="s">
        <v>148</v>
      </c>
      <c r="H10" s="72"/>
      <c r="I10" s="92">
        <f t="shared" si="0"/>
        <v>3</v>
      </c>
      <c r="J10" s="93">
        <v>46237</v>
      </c>
      <c r="K10" s="93">
        <v>46255</v>
      </c>
      <c r="L10" s="96" t="s">
        <v>149</v>
      </c>
      <c r="M10" s="97" t="str">
        <f t="shared" si="1"/>
        <v/>
      </c>
      <c r="N10" s="97" t="str">
        <f t="shared" si="1"/>
        <v/>
      </c>
      <c r="O10" s="97" t="str">
        <f t="shared" si="1"/>
        <v/>
      </c>
      <c r="P10" s="97" t="str">
        <f t="shared" si="1"/>
        <v/>
      </c>
      <c r="Q10" s="97" t="str">
        <f t="shared" si="1"/>
        <v/>
      </c>
      <c r="R10" s="97" t="str">
        <f t="shared" si="1"/>
        <v/>
      </c>
      <c r="S10" s="97" t="str">
        <f t="shared" si="1"/>
        <v/>
      </c>
      <c r="T10" s="97" t="str">
        <f t="shared" si="1"/>
        <v/>
      </c>
      <c r="U10" s="97" t="str">
        <f t="shared" si="1"/>
        <v/>
      </c>
      <c r="V10" s="97" t="str">
        <f t="shared" si="1"/>
        <v>M4</v>
      </c>
      <c r="W10" s="97" t="str">
        <f t="shared" si="2"/>
        <v/>
      </c>
      <c r="X10" s="97" t="str">
        <f t="shared" si="2"/>
        <v/>
      </c>
      <c r="Y10" s="97" t="str">
        <f t="shared" si="2"/>
        <v/>
      </c>
      <c r="Z10" s="98" t="str">
        <f t="shared" si="2"/>
        <v/>
      </c>
      <c r="AA10" s="97" t="str">
        <f t="shared" si="2"/>
        <v/>
      </c>
      <c r="AB10" s="97" t="str">
        <f t="shared" si="2"/>
        <v/>
      </c>
      <c r="AC10" s="97" t="str">
        <f t="shared" si="2"/>
        <v/>
      </c>
      <c r="AD10" s="97" t="str">
        <f t="shared" si="2"/>
        <v/>
      </c>
      <c r="AE10" s="97" t="str">
        <f t="shared" si="2"/>
        <v/>
      </c>
      <c r="AF10" s="97" t="str">
        <f t="shared" si="2"/>
        <v/>
      </c>
      <c r="AG10" s="97" t="str">
        <f t="shared" si="3"/>
        <v/>
      </c>
      <c r="AH10" s="97" t="str">
        <f t="shared" si="3"/>
        <v/>
      </c>
      <c r="AI10" s="97" t="str">
        <f t="shared" si="3"/>
        <v/>
      </c>
      <c r="AJ10" s="97" t="str">
        <f t="shared" si="3"/>
        <v/>
      </c>
      <c r="AK10" s="97" t="str">
        <f t="shared" si="3"/>
        <v/>
      </c>
      <c r="AL10" s="97" t="str">
        <f t="shared" si="3"/>
        <v/>
      </c>
      <c r="AM10" s="97" t="str">
        <f t="shared" si="3"/>
        <v/>
      </c>
      <c r="AN10" s="97" t="str">
        <f t="shared" si="3"/>
        <v/>
      </c>
      <c r="AO10" s="97" t="str">
        <f t="shared" si="3"/>
        <v/>
      </c>
      <c r="AP10" s="97" t="str">
        <f t="shared" si="3"/>
        <v/>
      </c>
      <c r="AQ10" s="97" t="str">
        <f t="shared" si="4"/>
        <v/>
      </c>
      <c r="AR10" s="97" t="str">
        <f t="shared" si="4"/>
        <v/>
      </c>
      <c r="AS10" s="97" t="str">
        <f t="shared" si="4"/>
        <v/>
      </c>
      <c r="AT10" s="97" t="str">
        <f t="shared" si="4"/>
        <v/>
      </c>
      <c r="AU10" s="97" t="str">
        <f t="shared" si="4"/>
        <v/>
      </c>
      <c r="AV10" s="97" t="str">
        <f t="shared" si="4"/>
        <v/>
      </c>
      <c r="AW10" s="97" t="str">
        <f t="shared" si="4"/>
        <v/>
      </c>
      <c r="AX10" s="97" t="str">
        <f t="shared" si="4"/>
        <v/>
      </c>
      <c r="AY10" s="97" t="str">
        <f t="shared" si="4"/>
        <v/>
      </c>
    </row>
    <row r="11" spans="1:51" ht="26" customHeight="1" x14ac:dyDescent="0.2">
      <c r="A11" s="70" t="s">
        <v>150</v>
      </c>
      <c r="B11" s="70" t="s">
        <v>151</v>
      </c>
      <c r="C11" s="71" t="s">
        <v>152</v>
      </c>
      <c r="D11" s="72" t="s">
        <v>63</v>
      </c>
      <c r="E11" s="102" t="s">
        <v>153</v>
      </c>
      <c r="F11" s="114" t="s">
        <v>368</v>
      </c>
      <c r="G11" s="109" t="s">
        <v>135</v>
      </c>
      <c r="H11" s="72"/>
      <c r="I11" s="92">
        <f t="shared" si="0"/>
        <v>4</v>
      </c>
      <c r="J11" s="93" t="s">
        <v>97</v>
      </c>
      <c r="K11" s="93" t="s">
        <v>100</v>
      </c>
      <c r="L11" s="96" t="s">
        <v>154</v>
      </c>
      <c r="M11" s="98" t="str">
        <f t="shared" si="1"/>
        <v/>
      </c>
      <c r="N11" s="98" t="str">
        <f t="shared" si="1"/>
        <v/>
      </c>
      <c r="O11" s="98" t="str">
        <f t="shared" si="1"/>
        <v/>
      </c>
      <c r="P11" s="98" t="str">
        <f t="shared" si="1"/>
        <v/>
      </c>
      <c r="Q11" s="98" t="str">
        <f t="shared" si="1"/>
        <v/>
      </c>
      <c r="R11" s="98" t="str">
        <f t="shared" si="1"/>
        <v/>
      </c>
      <c r="S11" s="98" t="str">
        <f t="shared" si="1"/>
        <v>M1</v>
      </c>
      <c r="T11" s="98" t="str">
        <f t="shared" si="1"/>
        <v/>
      </c>
      <c r="U11" s="98" t="str">
        <f t="shared" si="1"/>
        <v/>
      </c>
      <c r="V11" s="98" t="str">
        <f t="shared" si="1"/>
        <v/>
      </c>
      <c r="W11" s="98" t="str">
        <f t="shared" si="2"/>
        <v/>
      </c>
      <c r="X11" s="98" t="str">
        <f t="shared" si="2"/>
        <v/>
      </c>
      <c r="Y11" s="98" t="str">
        <f t="shared" si="2"/>
        <v/>
      </c>
      <c r="Z11" s="98" t="str">
        <f t="shared" si="2"/>
        <v/>
      </c>
      <c r="AA11" s="98" t="str">
        <f t="shared" si="2"/>
        <v/>
      </c>
      <c r="AB11" s="98" t="str">
        <f t="shared" si="2"/>
        <v/>
      </c>
      <c r="AC11" s="98" t="str">
        <f t="shared" si="2"/>
        <v/>
      </c>
      <c r="AD11" s="98" t="str">
        <f t="shared" si="2"/>
        <v/>
      </c>
      <c r="AE11" s="98" t="str">
        <f t="shared" si="2"/>
        <v/>
      </c>
      <c r="AF11" s="97" t="str">
        <f t="shared" si="2"/>
        <v/>
      </c>
      <c r="AG11" s="97" t="str">
        <f t="shared" si="3"/>
        <v/>
      </c>
      <c r="AH11" s="97" t="str">
        <f t="shared" si="3"/>
        <v/>
      </c>
      <c r="AI11" s="97" t="str">
        <f t="shared" si="3"/>
        <v/>
      </c>
      <c r="AJ11" s="97" t="str">
        <f t="shared" si="3"/>
        <v/>
      </c>
      <c r="AK11" s="97" t="str">
        <f t="shared" si="3"/>
        <v/>
      </c>
      <c r="AL11" s="97" t="str">
        <f t="shared" si="3"/>
        <v/>
      </c>
      <c r="AM11" s="97" t="str">
        <f t="shared" si="3"/>
        <v/>
      </c>
      <c r="AN11" s="97" t="str">
        <f t="shared" si="3"/>
        <v/>
      </c>
      <c r="AO11" s="97" t="str">
        <f t="shared" si="3"/>
        <v/>
      </c>
      <c r="AP11" s="97" t="str">
        <f t="shared" si="3"/>
        <v/>
      </c>
      <c r="AQ11" s="97" t="str">
        <f t="shared" si="4"/>
        <v/>
      </c>
      <c r="AR11" s="97" t="str">
        <f t="shared" si="4"/>
        <v/>
      </c>
      <c r="AS11" s="97" t="str">
        <f t="shared" si="4"/>
        <v/>
      </c>
      <c r="AT11" s="97" t="str">
        <f t="shared" si="4"/>
        <v/>
      </c>
      <c r="AU11" s="97" t="str">
        <f t="shared" si="4"/>
        <v/>
      </c>
      <c r="AV11" s="97" t="str">
        <f t="shared" si="4"/>
        <v/>
      </c>
      <c r="AW11" s="97" t="str">
        <f t="shared" si="4"/>
        <v/>
      </c>
      <c r="AX11" s="97" t="str">
        <f t="shared" si="4"/>
        <v/>
      </c>
      <c r="AY11" s="97" t="str">
        <f t="shared" si="4"/>
        <v/>
      </c>
    </row>
    <row r="12" spans="1:51" ht="26" customHeight="1" x14ac:dyDescent="0.2">
      <c r="A12" s="70" t="s">
        <v>150</v>
      </c>
      <c r="B12" s="70" t="s">
        <v>151</v>
      </c>
      <c r="C12" s="71" t="s">
        <v>155</v>
      </c>
      <c r="D12" s="72" t="s">
        <v>138</v>
      </c>
      <c r="E12" s="102" t="s">
        <v>156</v>
      </c>
      <c r="F12" s="114" t="s">
        <v>368</v>
      </c>
      <c r="G12" s="109" t="s">
        <v>135</v>
      </c>
      <c r="H12" s="72"/>
      <c r="I12" s="92">
        <f t="shared" si="0"/>
        <v>3</v>
      </c>
      <c r="J12" s="93">
        <v>46237</v>
      </c>
      <c r="K12" s="93">
        <v>46255</v>
      </c>
      <c r="L12" s="96" t="s">
        <v>157</v>
      </c>
      <c r="M12" s="98" t="str">
        <f t="shared" si="1"/>
        <v/>
      </c>
      <c r="N12" s="98" t="str">
        <f t="shared" si="1"/>
        <v/>
      </c>
      <c r="O12" s="98" t="str">
        <f t="shared" si="1"/>
        <v/>
      </c>
      <c r="P12" s="98" t="str">
        <f t="shared" si="1"/>
        <v/>
      </c>
      <c r="Q12" s="98" t="str">
        <f t="shared" si="1"/>
        <v/>
      </c>
      <c r="R12" s="98" t="str">
        <f t="shared" si="1"/>
        <v/>
      </c>
      <c r="S12" s="98" t="str">
        <f t="shared" si="1"/>
        <v/>
      </c>
      <c r="T12" s="98" t="str">
        <f t="shared" si="1"/>
        <v/>
      </c>
      <c r="U12" s="98" t="str">
        <f t="shared" si="1"/>
        <v/>
      </c>
      <c r="V12" s="98" t="str">
        <f t="shared" si="1"/>
        <v>M2</v>
      </c>
      <c r="W12" s="98" t="str">
        <f t="shared" si="2"/>
        <v/>
      </c>
      <c r="X12" s="98" t="str">
        <f t="shared" si="2"/>
        <v/>
      </c>
      <c r="Y12" s="98" t="str">
        <f t="shared" si="2"/>
        <v/>
      </c>
      <c r="Z12" s="98" t="str">
        <f t="shared" si="2"/>
        <v/>
      </c>
      <c r="AA12" s="98" t="str">
        <f t="shared" si="2"/>
        <v/>
      </c>
      <c r="AB12" s="98" t="str">
        <f t="shared" si="2"/>
        <v/>
      </c>
      <c r="AC12" s="98" t="str">
        <f t="shared" si="2"/>
        <v/>
      </c>
      <c r="AD12" s="98" t="str">
        <f t="shared" si="2"/>
        <v/>
      </c>
      <c r="AE12" s="98" t="str">
        <f t="shared" si="2"/>
        <v/>
      </c>
      <c r="AF12" s="97" t="str">
        <f t="shared" si="2"/>
        <v/>
      </c>
      <c r="AG12" s="97" t="str">
        <f t="shared" si="3"/>
        <v/>
      </c>
      <c r="AH12" s="97" t="str">
        <f t="shared" si="3"/>
        <v/>
      </c>
      <c r="AI12" s="97" t="str">
        <f t="shared" si="3"/>
        <v/>
      </c>
      <c r="AJ12" s="97" t="str">
        <f t="shared" si="3"/>
        <v/>
      </c>
      <c r="AK12" s="97" t="str">
        <f t="shared" si="3"/>
        <v/>
      </c>
      <c r="AL12" s="97" t="str">
        <f t="shared" si="3"/>
        <v/>
      </c>
      <c r="AM12" s="97" t="str">
        <f t="shared" si="3"/>
        <v/>
      </c>
      <c r="AN12" s="97" t="str">
        <f t="shared" si="3"/>
        <v/>
      </c>
      <c r="AO12" s="97" t="str">
        <f t="shared" si="3"/>
        <v/>
      </c>
      <c r="AP12" s="97" t="str">
        <f t="shared" si="3"/>
        <v/>
      </c>
      <c r="AQ12" s="97" t="str">
        <f t="shared" si="4"/>
        <v/>
      </c>
      <c r="AR12" s="97" t="str">
        <f t="shared" si="4"/>
        <v/>
      </c>
      <c r="AS12" s="97" t="str">
        <f t="shared" si="4"/>
        <v/>
      </c>
      <c r="AT12" s="97" t="str">
        <f t="shared" si="4"/>
        <v/>
      </c>
      <c r="AU12" s="97" t="str">
        <f t="shared" si="4"/>
        <v/>
      </c>
      <c r="AV12" s="97" t="str">
        <f t="shared" si="4"/>
        <v/>
      </c>
      <c r="AW12" s="97" t="str">
        <f t="shared" si="4"/>
        <v/>
      </c>
      <c r="AX12" s="97" t="str">
        <f t="shared" si="4"/>
        <v/>
      </c>
      <c r="AY12" s="97" t="str">
        <f t="shared" si="4"/>
        <v/>
      </c>
    </row>
    <row r="13" spans="1:51" ht="26" customHeight="1" x14ac:dyDescent="0.2">
      <c r="A13" s="70" t="s">
        <v>150</v>
      </c>
      <c r="B13" s="70" t="s">
        <v>151</v>
      </c>
      <c r="C13" s="71" t="s">
        <v>158</v>
      </c>
      <c r="D13" s="72" t="s">
        <v>142</v>
      </c>
      <c r="E13" s="102" t="s">
        <v>159</v>
      </c>
      <c r="F13" s="114" t="s">
        <v>368</v>
      </c>
      <c r="G13" s="109" t="s">
        <v>135</v>
      </c>
      <c r="H13" s="72"/>
      <c r="I13" s="92">
        <f t="shared" si="0"/>
        <v>6</v>
      </c>
      <c r="J13" s="93">
        <v>46258</v>
      </c>
      <c r="K13" s="93" t="s">
        <v>108</v>
      </c>
      <c r="L13" s="96" t="s">
        <v>161</v>
      </c>
      <c r="M13" s="98" t="str">
        <f t="shared" si="1"/>
        <v/>
      </c>
      <c r="N13" s="98" t="str">
        <f t="shared" si="1"/>
        <v/>
      </c>
      <c r="O13" s="98" t="str">
        <f t="shared" si="1"/>
        <v/>
      </c>
      <c r="P13" s="98" t="str">
        <f t="shared" si="1"/>
        <v/>
      </c>
      <c r="Q13" s="98" t="str">
        <f t="shared" si="1"/>
        <v/>
      </c>
      <c r="R13" s="98" t="str">
        <f t="shared" si="1"/>
        <v/>
      </c>
      <c r="S13" s="98" t="str">
        <f t="shared" si="1"/>
        <v/>
      </c>
      <c r="T13" s="98" t="str">
        <f t="shared" si="1"/>
        <v/>
      </c>
      <c r="U13" s="98" t="str">
        <f t="shared" si="1"/>
        <v/>
      </c>
      <c r="V13" s="98" t="str">
        <f t="shared" si="1"/>
        <v/>
      </c>
      <c r="W13" s="98" t="str">
        <f t="shared" si="2"/>
        <v/>
      </c>
      <c r="X13" s="98" t="str">
        <f t="shared" si="2"/>
        <v/>
      </c>
      <c r="Y13" s="98" t="str">
        <f t="shared" si="2"/>
        <v>M3</v>
      </c>
      <c r="Z13" s="98" t="str">
        <f t="shared" si="2"/>
        <v/>
      </c>
      <c r="AA13" s="98" t="str">
        <f t="shared" si="2"/>
        <v/>
      </c>
      <c r="AB13" s="98" t="str">
        <f t="shared" si="2"/>
        <v/>
      </c>
      <c r="AC13" s="98" t="str">
        <f t="shared" si="2"/>
        <v/>
      </c>
      <c r="AD13" s="98" t="str">
        <f t="shared" si="2"/>
        <v/>
      </c>
      <c r="AE13" s="98" t="str">
        <f t="shared" si="2"/>
        <v/>
      </c>
      <c r="AF13" s="97" t="str">
        <f t="shared" si="2"/>
        <v/>
      </c>
      <c r="AG13" s="97" t="str">
        <f t="shared" si="3"/>
        <v/>
      </c>
      <c r="AH13" s="97" t="str">
        <f t="shared" si="3"/>
        <v/>
      </c>
      <c r="AI13" s="97" t="str">
        <f t="shared" si="3"/>
        <v/>
      </c>
      <c r="AJ13" s="97" t="str">
        <f t="shared" si="3"/>
        <v/>
      </c>
      <c r="AK13" s="97" t="str">
        <f t="shared" si="3"/>
        <v/>
      </c>
      <c r="AL13" s="97" t="str">
        <f t="shared" si="3"/>
        <v/>
      </c>
      <c r="AM13" s="97" t="str">
        <f t="shared" si="3"/>
        <v/>
      </c>
      <c r="AN13" s="97" t="str">
        <f t="shared" si="3"/>
        <v/>
      </c>
      <c r="AO13" s="97" t="str">
        <f t="shared" si="3"/>
        <v/>
      </c>
      <c r="AP13" s="97" t="str">
        <f t="shared" si="3"/>
        <v/>
      </c>
      <c r="AQ13" s="97" t="str">
        <f t="shared" si="4"/>
        <v/>
      </c>
      <c r="AR13" s="97" t="str">
        <f t="shared" si="4"/>
        <v/>
      </c>
      <c r="AS13" s="97" t="str">
        <f t="shared" si="4"/>
        <v/>
      </c>
      <c r="AT13" s="97" t="str">
        <f t="shared" si="4"/>
        <v/>
      </c>
      <c r="AU13" s="97" t="str">
        <f t="shared" si="4"/>
        <v/>
      </c>
      <c r="AV13" s="97" t="str">
        <f t="shared" si="4"/>
        <v/>
      </c>
      <c r="AW13" s="97" t="str">
        <f t="shared" si="4"/>
        <v/>
      </c>
      <c r="AX13" s="97" t="str">
        <f t="shared" si="4"/>
        <v/>
      </c>
      <c r="AY13" s="97" t="str">
        <f t="shared" si="4"/>
        <v/>
      </c>
    </row>
    <row r="14" spans="1:51" ht="26" customHeight="1" x14ac:dyDescent="0.2">
      <c r="A14" s="70" t="s">
        <v>150</v>
      </c>
      <c r="B14" s="70" t="s">
        <v>151</v>
      </c>
      <c r="C14" s="71" t="s">
        <v>162</v>
      </c>
      <c r="D14" s="72" t="s">
        <v>147</v>
      </c>
      <c r="E14" s="102" t="s">
        <v>163</v>
      </c>
      <c r="F14" s="114" t="s">
        <v>368</v>
      </c>
      <c r="G14" s="109" t="s">
        <v>135</v>
      </c>
      <c r="H14" s="72"/>
      <c r="I14" s="92">
        <f t="shared" si="0"/>
        <v>3</v>
      </c>
      <c r="J14" s="93" t="s">
        <v>109</v>
      </c>
      <c r="K14" s="93" t="s">
        <v>111</v>
      </c>
      <c r="L14" s="96" t="s">
        <v>164</v>
      </c>
      <c r="M14" s="98" t="str">
        <f t="shared" si="1"/>
        <v/>
      </c>
      <c r="N14" s="98" t="str">
        <f t="shared" si="1"/>
        <v/>
      </c>
      <c r="O14" s="98" t="str">
        <f t="shared" si="1"/>
        <v/>
      </c>
      <c r="P14" s="98" t="str">
        <f t="shared" si="1"/>
        <v/>
      </c>
      <c r="Q14" s="98" t="str">
        <f t="shared" si="1"/>
        <v/>
      </c>
      <c r="R14" s="98" t="str">
        <f t="shared" si="1"/>
        <v/>
      </c>
      <c r="S14" s="98" t="str">
        <f t="shared" si="1"/>
        <v/>
      </c>
      <c r="T14" s="98" t="str">
        <f t="shared" si="1"/>
        <v/>
      </c>
      <c r="U14" s="98" t="str">
        <f t="shared" si="1"/>
        <v/>
      </c>
      <c r="V14" s="98" t="str">
        <f t="shared" si="1"/>
        <v/>
      </c>
      <c r="W14" s="98" t="str">
        <f t="shared" si="2"/>
        <v/>
      </c>
      <c r="X14" s="98" t="str">
        <f t="shared" si="2"/>
        <v/>
      </c>
      <c r="Y14" s="98" t="str">
        <f t="shared" si="2"/>
        <v/>
      </c>
      <c r="Z14" s="98" t="str">
        <f t="shared" si="2"/>
        <v/>
      </c>
      <c r="AA14" s="98" t="str">
        <f t="shared" si="2"/>
        <v/>
      </c>
      <c r="AB14" s="98" t="str">
        <f t="shared" si="2"/>
        <v/>
      </c>
      <c r="AC14" s="98" t="str">
        <f t="shared" si="2"/>
        <v/>
      </c>
      <c r="AD14" s="98" t="str">
        <f t="shared" si="2"/>
        <v/>
      </c>
      <c r="AE14" s="98" t="str">
        <f t="shared" si="2"/>
        <v>M4</v>
      </c>
      <c r="AF14" s="97" t="str">
        <f t="shared" si="2"/>
        <v/>
      </c>
      <c r="AG14" s="97" t="str">
        <f t="shared" si="3"/>
        <v/>
      </c>
      <c r="AH14" s="97" t="str">
        <f t="shared" si="3"/>
        <v/>
      </c>
      <c r="AI14" s="97" t="str">
        <f t="shared" si="3"/>
        <v/>
      </c>
      <c r="AJ14" s="97" t="str">
        <f t="shared" si="3"/>
        <v/>
      </c>
      <c r="AK14" s="97" t="str">
        <f t="shared" si="3"/>
        <v/>
      </c>
      <c r="AL14" s="97" t="str">
        <f t="shared" si="3"/>
        <v/>
      </c>
      <c r="AM14" s="97" t="str">
        <f t="shared" si="3"/>
        <v/>
      </c>
      <c r="AN14" s="97" t="str">
        <f t="shared" si="3"/>
        <v/>
      </c>
      <c r="AO14" s="97" t="str">
        <f t="shared" si="3"/>
        <v/>
      </c>
      <c r="AP14" s="97" t="str">
        <f t="shared" si="3"/>
        <v/>
      </c>
      <c r="AQ14" s="97" t="str">
        <f t="shared" si="4"/>
        <v/>
      </c>
      <c r="AR14" s="97" t="str">
        <f t="shared" si="4"/>
        <v/>
      </c>
      <c r="AS14" s="97" t="str">
        <f t="shared" si="4"/>
        <v/>
      </c>
      <c r="AT14" s="97" t="str">
        <f t="shared" si="4"/>
        <v/>
      </c>
      <c r="AU14" s="97" t="str">
        <f t="shared" si="4"/>
        <v/>
      </c>
      <c r="AV14" s="97" t="str">
        <f t="shared" si="4"/>
        <v/>
      </c>
      <c r="AW14" s="97" t="str">
        <f t="shared" si="4"/>
        <v/>
      </c>
      <c r="AX14" s="97" t="str">
        <f t="shared" si="4"/>
        <v/>
      </c>
      <c r="AY14" s="97" t="str">
        <f t="shared" si="4"/>
        <v/>
      </c>
    </row>
    <row r="15" spans="1:51" ht="26" customHeight="1" x14ac:dyDescent="0.2">
      <c r="A15" s="70" t="s">
        <v>165</v>
      </c>
      <c r="B15" s="70" t="s">
        <v>166</v>
      </c>
      <c r="C15" s="71" t="s">
        <v>167</v>
      </c>
      <c r="D15" s="72" t="s">
        <v>63</v>
      </c>
      <c r="E15" s="102" t="s">
        <v>168</v>
      </c>
      <c r="F15" s="114" t="s">
        <v>369</v>
      </c>
      <c r="G15" s="109" t="s">
        <v>135</v>
      </c>
      <c r="H15" s="72"/>
      <c r="I15" s="92">
        <f t="shared" si="0"/>
        <v>8</v>
      </c>
      <c r="J15" s="93" t="s">
        <v>99</v>
      </c>
      <c r="K15" s="93" t="s">
        <v>106</v>
      </c>
      <c r="L15" s="96" t="s">
        <v>169</v>
      </c>
      <c r="M15" s="97" t="str">
        <f t="shared" si="1"/>
        <v/>
      </c>
      <c r="N15" s="97" t="str">
        <f t="shared" si="1"/>
        <v/>
      </c>
      <c r="O15" s="97" t="str">
        <f t="shared" si="1"/>
        <v/>
      </c>
      <c r="P15" s="97" t="str">
        <f t="shared" si="1"/>
        <v/>
      </c>
      <c r="Q15" s="97" t="str">
        <f t="shared" si="1"/>
        <v/>
      </c>
      <c r="R15" s="97" t="str">
        <f t="shared" si="1"/>
        <v/>
      </c>
      <c r="S15" s="97" t="str">
        <f t="shared" si="1"/>
        <v/>
      </c>
      <c r="T15" s="97" t="str">
        <f t="shared" si="1"/>
        <v/>
      </c>
      <c r="U15" s="98" t="str">
        <f t="shared" si="1"/>
        <v>M1</v>
      </c>
      <c r="V15" s="97" t="str">
        <f t="shared" si="1"/>
        <v/>
      </c>
      <c r="W15" s="97" t="str">
        <f t="shared" si="2"/>
        <v/>
      </c>
      <c r="X15" s="97" t="str">
        <f t="shared" si="2"/>
        <v/>
      </c>
      <c r="Y15" s="97" t="str">
        <f t="shared" si="2"/>
        <v/>
      </c>
      <c r="Z15" s="97" t="str">
        <f t="shared" si="2"/>
        <v/>
      </c>
      <c r="AA15" s="97" t="str">
        <f t="shared" si="2"/>
        <v/>
      </c>
      <c r="AB15" s="97" t="str">
        <f t="shared" si="2"/>
        <v/>
      </c>
      <c r="AC15" s="97" t="str">
        <f t="shared" si="2"/>
        <v/>
      </c>
      <c r="AD15" s="97" t="str">
        <f t="shared" si="2"/>
        <v/>
      </c>
      <c r="AE15" s="97" t="str">
        <f t="shared" si="2"/>
        <v/>
      </c>
      <c r="AF15" s="97" t="str">
        <f t="shared" si="2"/>
        <v/>
      </c>
      <c r="AG15" s="97" t="str">
        <f t="shared" si="3"/>
        <v/>
      </c>
      <c r="AH15" s="97" t="str">
        <f t="shared" si="3"/>
        <v/>
      </c>
      <c r="AI15" s="97" t="str">
        <f t="shared" si="3"/>
        <v/>
      </c>
      <c r="AJ15" s="97" t="str">
        <f t="shared" si="3"/>
        <v/>
      </c>
      <c r="AK15" s="97" t="str">
        <f t="shared" si="3"/>
        <v/>
      </c>
      <c r="AL15" s="97" t="str">
        <f t="shared" si="3"/>
        <v/>
      </c>
      <c r="AM15" s="97" t="str">
        <f t="shared" si="3"/>
        <v/>
      </c>
      <c r="AN15" s="97" t="str">
        <f t="shared" si="3"/>
        <v/>
      </c>
      <c r="AO15" s="97" t="str">
        <f t="shared" si="3"/>
        <v/>
      </c>
      <c r="AP15" s="97" t="str">
        <f t="shared" si="3"/>
        <v/>
      </c>
      <c r="AQ15" s="97" t="str">
        <f t="shared" si="4"/>
        <v/>
      </c>
      <c r="AR15" s="97" t="str">
        <f t="shared" si="4"/>
        <v/>
      </c>
      <c r="AS15" s="97" t="str">
        <f t="shared" si="4"/>
        <v/>
      </c>
      <c r="AT15" s="97" t="str">
        <f t="shared" si="4"/>
        <v/>
      </c>
      <c r="AU15" s="97" t="str">
        <f t="shared" si="4"/>
        <v/>
      </c>
      <c r="AV15" s="97" t="str">
        <f t="shared" si="4"/>
        <v/>
      </c>
      <c r="AW15" s="97" t="str">
        <f t="shared" si="4"/>
        <v/>
      </c>
      <c r="AX15" s="97" t="str">
        <f t="shared" si="4"/>
        <v/>
      </c>
      <c r="AY15" s="97" t="str">
        <f t="shared" si="4"/>
        <v/>
      </c>
    </row>
    <row r="16" spans="1:51" ht="26" customHeight="1" x14ac:dyDescent="0.2">
      <c r="A16" s="70" t="s">
        <v>165</v>
      </c>
      <c r="B16" s="70" t="s">
        <v>166</v>
      </c>
      <c r="C16" s="71" t="s">
        <v>170</v>
      </c>
      <c r="D16" s="72" t="s">
        <v>138</v>
      </c>
      <c r="E16" s="72"/>
      <c r="F16" s="112"/>
      <c r="G16" s="100" t="s">
        <v>160</v>
      </c>
      <c r="H16" s="72"/>
      <c r="I16" s="92">
        <f t="shared" si="0"/>
        <v>2</v>
      </c>
      <c r="J16" s="93" t="s">
        <v>106</v>
      </c>
      <c r="K16" s="93" t="s">
        <v>107</v>
      </c>
      <c r="L16" s="96" t="s">
        <v>171</v>
      </c>
      <c r="M16" s="97" t="str">
        <f t="shared" si="1"/>
        <v/>
      </c>
      <c r="N16" s="97" t="str">
        <f t="shared" si="1"/>
        <v/>
      </c>
      <c r="O16" s="97" t="str">
        <f t="shared" si="1"/>
        <v/>
      </c>
      <c r="P16" s="97" t="str">
        <f t="shared" si="1"/>
        <v/>
      </c>
      <c r="Q16" s="97" t="str">
        <f t="shared" si="1"/>
        <v/>
      </c>
      <c r="R16" s="97" t="str">
        <f t="shared" si="1"/>
        <v/>
      </c>
      <c r="S16" s="97" t="str">
        <f t="shared" si="1"/>
        <v/>
      </c>
      <c r="T16" s="97" t="str">
        <f t="shared" si="1"/>
        <v/>
      </c>
      <c r="U16" s="97" t="str">
        <f t="shared" si="1"/>
        <v/>
      </c>
      <c r="V16" s="97" t="str">
        <f t="shared" si="1"/>
        <v/>
      </c>
      <c r="W16" s="97" t="str">
        <f t="shared" si="2"/>
        <v/>
      </c>
      <c r="X16" s="97" t="str">
        <f t="shared" si="2"/>
        <v/>
      </c>
      <c r="Y16" s="97" t="str">
        <f t="shared" si="2"/>
        <v/>
      </c>
      <c r="Z16" s="97" t="str">
        <f t="shared" si="2"/>
        <v/>
      </c>
      <c r="AA16" s="97" t="str">
        <f t="shared" si="2"/>
        <v/>
      </c>
      <c r="AB16" s="98" t="str">
        <f t="shared" si="2"/>
        <v>M2</v>
      </c>
      <c r="AC16" s="97" t="str">
        <f t="shared" si="2"/>
        <v/>
      </c>
      <c r="AD16" s="97" t="str">
        <f t="shared" si="2"/>
        <v/>
      </c>
      <c r="AE16" s="97" t="str">
        <f t="shared" si="2"/>
        <v/>
      </c>
      <c r="AF16" s="97" t="str">
        <f t="shared" si="2"/>
        <v/>
      </c>
      <c r="AG16" s="97" t="str">
        <f t="shared" si="3"/>
        <v/>
      </c>
      <c r="AH16" s="97" t="str">
        <f t="shared" si="3"/>
        <v/>
      </c>
      <c r="AI16" s="97" t="str">
        <f t="shared" si="3"/>
        <v/>
      </c>
      <c r="AJ16" s="97" t="str">
        <f t="shared" si="3"/>
        <v/>
      </c>
      <c r="AK16" s="97" t="str">
        <f t="shared" si="3"/>
        <v/>
      </c>
      <c r="AL16" s="97" t="str">
        <f t="shared" si="3"/>
        <v/>
      </c>
      <c r="AM16" s="97" t="str">
        <f t="shared" si="3"/>
        <v/>
      </c>
      <c r="AN16" s="97" t="str">
        <f t="shared" si="3"/>
        <v/>
      </c>
      <c r="AO16" s="97" t="str">
        <f t="shared" si="3"/>
        <v/>
      </c>
      <c r="AP16" s="97" t="str">
        <f t="shared" si="3"/>
        <v/>
      </c>
      <c r="AQ16" s="97" t="str">
        <f t="shared" si="4"/>
        <v/>
      </c>
      <c r="AR16" s="97" t="str">
        <f t="shared" si="4"/>
        <v/>
      </c>
      <c r="AS16" s="97" t="str">
        <f t="shared" si="4"/>
        <v/>
      </c>
      <c r="AT16" s="97" t="str">
        <f t="shared" si="4"/>
        <v/>
      </c>
      <c r="AU16" s="97" t="str">
        <f t="shared" si="4"/>
        <v/>
      </c>
      <c r="AV16" s="97" t="str">
        <f t="shared" si="4"/>
        <v/>
      </c>
      <c r="AW16" s="97" t="str">
        <f t="shared" si="4"/>
        <v/>
      </c>
      <c r="AX16" s="97" t="str">
        <f t="shared" si="4"/>
        <v/>
      </c>
      <c r="AY16" s="97" t="str">
        <f t="shared" si="4"/>
        <v/>
      </c>
    </row>
    <row r="17" spans="1:51" ht="26" customHeight="1" x14ac:dyDescent="0.2">
      <c r="A17" s="70" t="s">
        <v>165</v>
      </c>
      <c r="B17" s="70" t="s">
        <v>166</v>
      </c>
      <c r="C17" s="71" t="s">
        <v>172</v>
      </c>
      <c r="D17" s="72" t="s">
        <v>142</v>
      </c>
      <c r="E17" s="72"/>
      <c r="F17" s="112"/>
      <c r="G17" s="100" t="s">
        <v>160</v>
      </c>
      <c r="H17" s="72"/>
      <c r="I17" s="92">
        <f t="shared" si="0"/>
        <v>4</v>
      </c>
      <c r="J17" s="93" t="s">
        <v>108</v>
      </c>
      <c r="K17" s="93" t="s">
        <v>111</v>
      </c>
      <c r="L17" s="96" t="s">
        <v>173</v>
      </c>
      <c r="M17" s="97" t="str">
        <f t="shared" ref="M17:V24" si="5">_xlfn.LET(_xlpm.gs,$J17,_xlpm.hs,$K17,_xlpm.fs,$I17,_xlpm.ms,$D17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N17" s="97" t="str">
        <f t="shared" si="5"/>
        <v/>
      </c>
      <c r="O17" s="97" t="str">
        <f t="shared" si="5"/>
        <v/>
      </c>
      <c r="P17" s="97" t="str">
        <f t="shared" si="5"/>
        <v/>
      </c>
      <c r="Q17" s="97" t="str">
        <f t="shared" si="5"/>
        <v/>
      </c>
      <c r="R17" s="97" t="str">
        <f t="shared" si="5"/>
        <v/>
      </c>
      <c r="S17" s="97" t="str">
        <f t="shared" si="5"/>
        <v/>
      </c>
      <c r="T17" s="97" t="str">
        <f t="shared" si="5"/>
        <v/>
      </c>
      <c r="U17" s="97" t="str">
        <f t="shared" si="5"/>
        <v/>
      </c>
      <c r="V17" s="97" t="str">
        <f t="shared" si="5"/>
        <v/>
      </c>
      <c r="W17" s="97" t="str">
        <f t="shared" ref="W17:AF24" si="6">_xlfn.LET(_xlpm.gs,$J17,_xlpm.hs,$K17,_xlpm.fs,$I17,_xlpm.ms,$D17,_xlpm.ws,W$5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X17" s="97" t="str">
        <f t="shared" si="6"/>
        <v/>
      </c>
      <c r="Y17" s="97" t="str">
        <f t="shared" si="6"/>
        <v/>
      </c>
      <c r="Z17" s="97" t="str">
        <f t="shared" si="6"/>
        <v/>
      </c>
      <c r="AA17" s="97" t="str">
        <f t="shared" si="6"/>
        <v/>
      </c>
      <c r="AB17" s="97" t="str">
        <f t="shared" si="6"/>
        <v/>
      </c>
      <c r="AC17" s="97" t="str">
        <f t="shared" si="6"/>
        <v/>
      </c>
      <c r="AD17" s="98" t="str">
        <f t="shared" si="6"/>
        <v>M3</v>
      </c>
      <c r="AE17" s="97" t="str">
        <f t="shared" si="6"/>
        <v/>
      </c>
      <c r="AF17" s="97" t="str">
        <f t="shared" si="6"/>
        <v/>
      </c>
      <c r="AG17" s="97" t="str">
        <f t="shared" ref="AG17:AP24" si="7">_xlfn.LET(_xlpm.gs,$J17,_xlpm.hs,$K17,_xlpm.fs,$I17,_xlpm.ms,$D17,_xlpm.ws,AG$5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H17" s="97" t="str">
        <f t="shared" si="7"/>
        <v/>
      </c>
      <c r="AI17" s="97" t="str">
        <f t="shared" si="7"/>
        <v/>
      </c>
      <c r="AJ17" s="97" t="str">
        <f t="shared" si="7"/>
        <v/>
      </c>
      <c r="AK17" s="97" t="str">
        <f t="shared" si="7"/>
        <v/>
      </c>
      <c r="AL17" s="97" t="str">
        <f t="shared" si="7"/>
        <v/>
      </c>
      <c r="AM17" s="97" t="str">
        <f t="shared" si="7"/>
        <v/>
      </c>
      <c r="AN17" s="97" t="str">
        <f t="shared" si="7"/>
        <v/>
      </c>
      <c r="AO17" s="97" t="str">
        <f t="shared" si="7"/>
        <v/>
      </c>
      <c r="AP17" s="97" t="str">
        <f t="shared" si="7"/>
        <v/>
      </c>
      <c r="AQ17" s="97" t="str">
        <f t="shared" ref="AQ17:AY24" si="8">_xlfn.LET(_xlpm.gs,$J17,_xlpm.hs,$K17,_xlpm.fs,$I17,_xlpm.ms,$D17,_xlpm.ws,AQ$5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R17" s="97" t="str">
        <f t="shared" si="8"/>
        <v/>
      </c>
      <c r="AS17" s="97" t="str">
        <f t="shared" si="8"/>
        <v/>
      </c>
      <c r="AT17" s="97" t="str">
        <f t="shared" si="8"/>
        <v/>
      </c>
      <c r="AU17" s="97" t="str">
        <f t="shared" si="8"/>
        <v/>
      </c>
      <c r="AV17" s="97" t="str">
        <f t="shared" si="8"/>
        <v/>
      </c>
      <c r="AW17" s="97" t="str">
        <f t="shared" si="8"/>
        <v/>
      </c>
      <c r="AX17" s="97" t="str">
        <f t="shared" si="8"/>
        <v/>
      </c>
      <c r="AY17" s="97" t="str">
        <f t="shared" si="8"/>
        <v/>
      </c>
    </row>
    <row r="18" spans="1:51" ht="26" customHeight="1" x14ac:dyDescent="0.2">
      <c r="A18" s="70" t="s">
        <v>165</v>
      </c>
      <c r="B18" s="70" t="s">
        <v>166</v>
      </c>
      <c r="C18" s="71" t="s">
        <v>174</v>
      </c>
      <c r="D18" s="72" t="s">
        <v>147</v>
      </c>
      <c r="E18" s="72"/>
      <c r="F18" s="112"/>
      <c r="G18" s="100" t="s">
        <v>160</v>
      </c>
      <c r="H18" s="72"/>
      <c r="I18" s="92">
        <f t="shared" si="0"/>
        <v>1</v>
      </c>
      <c r="J18" s="93" t="s">
        <v>112</v>
      </c>
      <c r="K18" s="93" t="s">
        <v>112</v>
      </c>
      <c r="L18" s="96" t="s">
        <v>175</v>
      </c>
      <c r="M18" s="97" t="str">
        <f t="shared" si="5"/>
        <v/>
      </c>
      <c r="N18" s="97" t="str">
        <f t="shared" si="5"/>
        <v/>
      </c>
      <c r="O18" s="97" t="str">
        <f t="shared" si="5"/>
        <v/>
      </c>
      <c r="P18" s="97" t="str">
        <f t="shared" si="5"/>
        <v/>
      </c>
      <c r="Q18" s="97" t="str">
        <f t="shared" si="5"/>
        <v/>
      </c>
      <c r="R18" s="97" t="str">
        <f t="shared" si="5"/>
        <v/>
      </c>
      <c r="S18" s="97" t="str">
        <f t="shared" si="5"/>
        <v/>
      </c>
      <c r="T18" s="97" t="str">
        <f t="shared" si="5"/>
        <v/>
      </c>
      <c r="U18" s="97" t="str">
        <f t="shared" si="5"/>
        <v/>
      </c>
      <c r="V18" s="97" t="str">
        <f t="shared" si="5"/>
        <v/>
      </c>
      <c r="W18" s="97" t="str">
        <f t="shared" si="6"/>
        <v/>
      </c>
      <c r="X18" s="97" t="str">
        <f t="shared" si="6"/>
        <v/>
      </c>
      <c r="Y18" s="97" t="str">
        <f t="shared" si="6"/>
        <v/>
      </c>
      <c r="Z18" s="97" t="str">
        <f t="shared" si="6"/>
        <v/>
      </c>
      <c r="AA18" s="97" t="str">
        <f t="shared" si="6"/>
        <v/>
      </c>
      <c r="AB18" s="97" t="str">
        <f t="shared" si="6"/>
        <v/>
      </c>
      <c r="AC18" s="97" t="str">
        <f t="shared" si="6"/>
        <v/>
      </c>
      <c r="AD18" s="97" t="str">
        <f t="shared" si="6"/>
        <v/>
      </c>
      <c r="AE18" s="97" t="str">
        <f t="shared" si="6"/>
        <v/>
      </c>
      <c r="AF18" s="97" t="str">
        <f t="shared" si="6"/>
        <v/>
      </c>
      <c r="AG18" s="97" t="str">
        <f t="shared" si="7"/>
        <v/>
      </c>
      <c r="AH18" s="98" t="str">
        <f t="shared" si="7"/>
        <v>M4</v>
      </c>
      <c r="AI18" s="97" t="str">
        <f t="shared" si="7"/>
        <v/>
      </c>
      <c r="AJ18" s="97" t="str">
        <f t="shared" si="7"/>
        <v/>
      </c>
      <c r="AK18" s="97" t="str">
        <f t="shared" si="7"/>
        <v/>
      </c>
      <c r="AL18" s="97" t="str">
        <f t="shared" si="7"/>
        <v/>
      </c>
      <c r="AM18" s="97" t="str">
        <f t="shared" si="7"/>
        <v/>
      </c>
      <c r="AN18" s="97" t="str">
        <f t="shared" si="7"/>
        <v/>
      </c>
      <c r="AO18" s="97" t="str">
        <f t="shared" si="7"/>
        <v/>
      </c>
      <c r="AP18" s="97" t="str">
        <f t="shared" si="7"/>
        <v/>
      </c>
      <c r="AQ18" s="97" t="str">
        <f t="shared" si="8"/>
        <v/>
      </c>
      <c r="AR18" s="97" t="str">
        <f t="shared" si="8"/>
        <v/>
      </c>
      <c r="AS18" s="97" t="str">
        <f t="shared" si="8"/>
        <v/>
      </c>
      <c r="AT18" s="97" t="str">
        <f t="shared" si="8"/>
        <v/>
      </c>
      <c r="AU18" s="97" t="str">
        <f t="shared" si="8"/>
        <v/>
      </c>
      <c r="AV18" s="97" t="str">
        <f t="shared" si="8"/>
        <v/>
      </c>
      <c r="AW18" s="97" t="str">
        <f t="shared" si="8"/>
        <v/>
      </c>
      <c r="AX18" s="97" t="str">
        <f t="shared" si="8"/>
        <v/>
      </c>
      <c r="AY18" s="97" t="str">
        <f t="shared" si="8"/>
        <v/>
      </c>
    </row>
    <row r="19" spans="1:51" ht="26" customHeight="1" x14ac:dyDescent="0.2">
      <c r="A19" s="70" t="s">
        <v>176</v>
      </c>
      <c r="B19" s="70" t="s">
        <v>177</v>
      </c>
      <c r="C19" s="71" t="s">
        <v>178</v>
      </c>
      <c r="D19" s="72" t="s">
        <v>63</v>
      </c>
      <c r="E19" s="72"/>
      <c r="F19" s="112"/>
      <c r="G19" s="100" t="s">
        <v>160</v>
      </c>
      <c r="H19" s="72"/>
      <c r="I19" s="92">
        <f t="shared" si="0"/>
        <v>7</v>
      </c>
      <c r="J19" s="93" t="s">
        <v>102</v>
      </c>
      <c r="K19" s="93" t="s">
        <v>108</v>
      </c>
      <c r="L19" s="96" t="s">
        <v>179</v>
      </c>
      <c r="M19" s="97" t="str">
        <f t="shared" si="5"/>
        <v/>
      </c>
      <c r="N19" s="97" t="str">
        <f t="shared" si="5"/>
        <v/>
      </c>
      <c r="O19" s="97" t="str">
        <f t="shared" si="5"/>
        <v/>
      </c>
      <c r="P19" s="97" t="str">
        <f t="shared" si="5"/>
        <v/>
      </c>
      <c r="Q19" s="97" t="str">
        <f t="shared" si="5"/>
        <v/>
      </c>
      <c r="R19" s="97" t="str">
        <f t="shared" si="5"/>
        <v/>
      </c>
      <c r="S19" s="97" t="str">
        <f t="shared" si="5"/>
        <v/>
      </c>
      <c r="T19" s="97" t="str">
        <f t="shared" si="5"/>
        <v/>
      </c>
      <c r="U19" s="97" t="str">
        <f t="shared" si="5"/>
        <v/>
      </c>
      <c r="V19" s="97" t="str">
        <f t="shared" si="5"/>
        <v/>
      </c>
      <c r="W19" s="97" t="str">
        <f t="shared" si="6"/>
        <v/>
      </c>
      <c r="X19" s="98" t="str">
        <f t="shared" si="6"/>
        <v>M1</v>
      </c>
      <c r="Y19" s="97" t="str">
        <f t="shared" si="6"/>
        <v/>
      </c>
      <c r="Z19" s="97" t="str">
        <f t="shared" si="6"/>
        <v/>
      </c>
      <c r="AA19" s="97" t="str">
        <f t="shared" si="6"/>
        <v/>
      </c>
      <c r="AB19" s="97" t="str">
        <f t="shared" si="6"/>
        <v/>
      </c>
      <c r="AC19" s="97" t="str">
        <f t="shared" si="6"/>
        <v/>
      </c>
      <c r="AD19" s="97" t="str">
        <f t="shared" si="6"/>
        <v/>
      </c>
      <c r="AE19" s="97" t="str">
        <f t="shared" si="6"/>
        <v/>
      </c>
      <c r="AF19" s="97" t="str">
        <f t="shared" si="6"/>
        <v/>
      </c>
      <c r="AG19" s="97" t="str">
        <f t="shared" si="7"/>
        <v/>
      </c>
      <c r="AH19" s="97" t="str">
        <f t="shared" si="7"/>
        <v/>
      </c>
      <c r="AI19" s="97" t="str">
        <f t="shared" si="7"/>
        <v/>
      </c>
      <c r="AJ19" s="97" t="str">
        <f t="shared" si="7"/>
        <v/>
      </c>
      <c r="AK19" s="97" t="str">
        <f t="shared" si="7"/>
        <v/>
      </c>
      <c r="AL19" s="97" t="str">
        <f t="shared" si="7"/>
        <v/>
      </c>
      <c r="AM19" s="97" t="str">
        <f t="shared" si="7"/>
        <v/>
      </c>
      <c r="AN19" s="97" t="str">
        <f t="shared" si="7"/>
        <v/>
      </c>
      <c r="AO19" s="97" t="str">
        <f t="shared" si="7"/>
        <v/>
      </c>
      <c r="AP19" s="97" t="str">
        <f t="shared" si="7"/>
        <v/>
      </c>
      <c r="AQ19" s="97" t="str">
        <f t="shared" si="8"/>
        <v/>
      </c>
      <c r="AR19" s="97" t="str">
        <f t="shared" si="8"/>
        <v/>
      </c>
      <c r="AS19" s="97" t="str">
        <f t="shared" si="8"/>
        <v/>
      </c>
      <c r="AT19" s="97" t="str">
        <f t="shared" si="8"/>
        <v/>
      </c>
      <c r="AU19" s="97" t="str">
        <f t="shared" si="8"/>
        <v/>
      </c>
      <c r="AV19" s="97" t="str">
        <f t="shared" si="8"/>
        <v/>
      </c>
      <c r="AW19" s="97" t="str">
        <f t="shared" si="8"/>
        <v/>
      </c>
      <c r="AX19" s="97" t="str">
        <f t="shared" si="8"/>
        <v/>
      </c>
      <c r="AY19" s="97" t="str">
        <f t="shared" si="8"/>
        <v/>
      </c>
    </row>
    <row r="20" spans="1:51" ht="26" customHeight="1" x14ac:dyDescent="0.2">
      <c r="A20" s="70" t="s">
        <v>176</v>
      </c>
      <c r="B20" s="70" t="s">
        <v>177</v>
      </c>
      <c r="C20" s="71" t="s">
        <v>180</v>
      </c>
      <c r="D20" s="72" t="s">
        <v>138</v>
      </c>
      <c r="E20" s="72"/>
      <c r="F20" s="112"/>
      <c r="G20" s="100" t="s">
        <v>160</v>
      </c>
      <c r="H20" s="72"/>
      <c r="I20" s="92">
        <f t="shared" si="0"/>
        <v>2</v>
      </c>
      <c r="J20" s="93" t="s">
        <v>109</v>
      </c>
      <c r="K20" s="93" t="s">
        <v>110</v>
      </c>
      <c r="L20" s="96" t="s">
        <v>181</v>
      </c>
      <c r="M20" s="97" t="str">
        <f t="shared" si="5"/>
        <v/>
      </c>
      <c r="N20" s="97" t="str">
        <f t="shared" si="5"/>
        <v/>
      </c>
      <c r="O20" s="97" t="str">
        <f t="shared" si="5"/>
        <v/>
      </c>
      <c r="P20" s="97" t="str">
        <f t="shared" si="5"/>
        <v/>
      </c>
      <c r="Q20" s="97" t="str">
        <f t="shared" si="5"/>
        <v/>
      </c>
      <c r="R20" s="97" t="str">
        <f t="shared" si="5"/>
        <v/>
      </c>
      <c r="S20" s="97" t="str">
        <f t="shared" si="5"/>
        <v/>
      </c>
      <c r="T20" s="97" t="str">
        <f t="shared" si="5"/>
        <v/>
      </c>
      <c r="U20" s="97" t="str">
        <f t="shared" si="5"/>
        <v/>
      </c>
      <c r="V20" s="97" t="str">
        <f t="shared" si="5"/>
        <v/>
      </c>
      <c r="W20" s="97" t="str">
        <f t="shared" si="6"/>
        <v/>
      </c>
      <c r="X20" s="97" t="str">
        <f t="shared" si="6"/>
        <v/>
      </c>
      <c r="Y20" s="97" t="str">
        <f t="shared" si="6"/>
        <v/>
      </c>
      <c r="Z20" s="97" t="str">
        <f t="shared" si="6"/>
        <v/>
      </c>
      <c r="AA20" s="97" t="str">
        <f t="shared" si="6"/>
        <v/>
      </c>
      <c r="AB20" s="97" t="str">
        <f t="shared" si="6"/>
        <v/>
      </c>
      <c r="AC20" s="97" t="str">
        <f t="shared" si="6"/>
        <v/>
      </c>
      <c r="AD20" s="97" t="str">
        <f t="shared" si="6"/>
        <v/>
      </c>
      <c r="AE20" s="98" t="str">
        <f t="shared" si="6"/>
        <v>M2</v>
      </c>
      <c r="AF20" s="97" t="str">
        <f t="shared" si="6"/>
        <v/>
      </c>
      <c r="AG20" s="97" t="str">
        <f t="shared" si="7"/>
        <v/>
      </c>
      <c r="AH20" s="97" t="str">
        <f t="shared" si="7"/>
        <v/>
      </c>
      <c r="AI20" s="97" t="str">
        <f t="shared" si="7"/>
        <v/>
      </c>
      <c r="AJ20" s="97" t="str">
        <f t="shared" si="7"/>
        <v/>
      </c>
      <c r="AK20" s="97" t="str">
        <f t="shared" si="7"/>
        <v/>
      </c>
      <c r="AL20" s="97" t="str">
        <f t="shared" si="7"/>
        <v/>
      </c>
      <c r="AM20" s="97" t="str">
        <f t="shared" si="7"/>
        <v/>
      </c>
      <c r="AN20" s="97" t="str">
        <f t="shared" si="7"/>
        <v/>
      </c>
      <c r="AO20" s="97" t="str">
        <f t="shared" si="7"/>
        <v/>
      </c>
      <c r="AP20" s="97" t="str">
        <f t="shared" si="7"/>
        <v/>
      </c>
      <c r="AQ20" s="97" t="str">
        <f t="shared" si="8"/>
        <v/>
      </c>
      <c r="AR20" s="97" t="str">
        <f t="shared" si="8"/>
        <v/>
      </c>
      <c r="AS20" s="97" t="str">
        <f t="shared" si="8"/>
        <v/>
      </c>
      <c r="AT20" s="97" t="str">
        <f t="shared" si="8"/>
        <v/>
      </c>
      <c r="AU20" s="97" t="str">
        <f t="shared" si="8"/>
        <v/>
      </c>
      <c r="AV20" s="97" t="str">
        <f t="shared" si="8"/>
        <v/>
      </c>
      <c r="AW20" s="97" t="str">
        <f t="shared" si="8"/>
        <v/>
      </c>
      <c r="AX20" s="97" t="str">
        <f t="shared" si="8"/>
        <v/>
      </c>
      <c r="AY20" s="97" t="str">
        <f t="shared" si="8"/>
        <v/>
      </c>
    </row>
    <row r="21" spans="1:51" ht="26" customHeight="1" x14ac:dyDescent="0.2">
      <c r="A21" s="70" t="s">
        <v>176</v>
      </c>
      <c r="B21" s="70" t="s">
        <v>177</v>
      </c>
      <c r="C21" s="71" t="s">
        <v>182</v>
      </c>
      <c r="D21" s="72" t="s">
        <v>142</v>
      </c>
      <c r="E21" s="72"/>
      <c r="F21" s="112"/>
      <c r="G21" s="100" t="s">
        <v>160</v>
      </c>
      <c r="H21" s="72"/>
      <c r="I21" s="92">
        <f t="shared" si="0"/>
        <v>3</v>
      </c>
      <c r="J21" s="93" t="s">
        <v>111</v>
      </c>
      <c r="K21" s="93" t="s">
        <v>113</v>
      </c>
      <c r="L21" s="96" t="s">
        <v>183</v>
      </c>
      <c r="M21" s="97" t="str">
        <f t="shared" si="5"/>
        <v/>
      </c>
      <c r="N21" s="97" t="str">
        <f t="shared" si="5"/>
        <v/>
      </c>
      <c r="O21" s="97" t="str">
        <f t="shared" si="5"/>
        <v/>
      </c>
      <c r="P21" s="97" t="str">
        <f t="shared" si="5"/>
        <v/>
      </c>
      <c r="Q21" s="97" t="str">
        <f t="shared" si="5"/>
        <v/>
      </c>
      <c r="R21" s="97" t="str">
        <f t="shared" si="5"/>
        <v/>
      </c>
      <c r="S21" s="97" t="str">
        <f t="shared" si="5"/>
        <v/>
      </c>
      <c r="T21" s="97" t="str">
        <f t="shared" si="5"/>
        <v/>
      </c>
      <c r="U21" s="97" t="str">
        <f t="shared" si="5"/>
        <v/>
      </c>
      <c r="V21" s="97" t="str">
        <f t="shared" si="5"/>
        <v/>
      </c>
      <c r="W21" s="97" t="str">
        <f t="shared" si="6"/>
        <v/>
      </c>
      <c r="X21" s="97" t="str">
        <f t="shared" si="6"/>
        <v/>
      </c>
      <c r="Y21" s="97" t="str">
        <f t="shared" si="6"/>
        <v/>
      </c>
      <c r="Z21" s="97" t="str">
        <f t="shared" si="6"/>
        <v/>
      </c>
      <c r="AA21" s="97" t="str">
        <f t="shared" si="6"/>
        <v/>
      </c>
      <c r="AB21" s="97" t="str">
        <f t="shared" si="6"/>
        <v/>
      </c>
      <c r="AC21" s="97" t="str">
        <f t="shared" si="6"/>
        <v/>
      </c>
      <c r="AD21" s="97" t="str">
        <f t="shared" si="6"/>
        <v/>
      </c>
      <c r="AE21" s="97" t="str">
        <f t="shared" si="6"/>
        <v/>
      </c>
      <c r="AF21" s="97" t="str">
        <f t="shared" si="6"/>
        <v/>
      </c>
      <c r="AG21" s="98" t="str">
        <f t="shared" si="7"/>
        <v>M3</v>
      </c>
      <c r="AH21" s="97" t="str">
        <f t="shared" si="7"/>
        <v/>
      </c>
      <c r="AI21" s="97" t="str">
        <f t="shared" si="7"/>
        <v/>
      </c>
      <c r="AJ21" s="97" t="str">
        <f t="shared" si="7"/>
        <v/>
      </c>
      <c r="AK21" s="97" t="str">
        <f t="shared" si="7"/>
        <v/>
      </c>
      <c r="AL21" s="97" t="str">
        <f t="shared" si="7"/>
        <v/>
      </c>
      <c r="AM21" s="97" t="str">
        <f t="shared" si="7"/>
        <v/>
      </c>
      <c r="AN21" s="97" t="str">
        <f t="shared" si="7"/>
        <v/>
      </c>
      <c r="AO21" s="97" t="str">
        <f t="shared" si="7"/>
        <v/>
      </c>
      <c r="AP21" s="97" t="str">
        <f t="shared" si="7"/>
        <v/>
      </c>
      <c r="AQ21" s="97" t="str">
        <f t="shared" si="8"/>
        <v/>
      </c>
      <c r="AR21" s="97" t="str">
        <f t="shared" si="8"/>
        <v/>
      </c>
      <c r="AS21" s="97" t="str">
        <f t="shared" si="8"/>
        <v/>
      </c>
      <c r="AT21" s="97" t="str">
        <f t="shared" si="8"/>
        <v/>
      </c>
      <c r="AU21" s="97" t="str">
        <f t="shared" si="8"/>
        <v/>
      </c>
      <c r="AV21" s="97" t="str">
        <f t="shared" si="8"/>
        <v/>
      </c>
      <c r="AW21" s="97" t="str">
        <f t="shared" si="8"/>
        <v/>
      </c>
      <c r="AX21" s="97" t="str">
        <f t="shared" si="8"/>
        <v/>
      </c>
      <c r="AY21" s="97" t="str">
        <f t="shared" si="8"/>
        <v/>
      </c>
    </row>
    <row r="22" spans="1:51" ht="26" customHeight="1" x14ac:dyDescent="0.2">
      <c r="A22" s="70" t="s">
        <v>184</v>
      </c>
      <c r="B22" s="70" t="s">
        <v>177</v>
      </c>
      <c r="C22" s="71" t="s">
        <v>185</v>
      </c>
      <c r="D22" s="72" t="s">
        <v>63</v>
      </c>
      <c r="E22" s="72"/>
      <c r="F22" s="112"/>
      <c r="G22" s="100" t="s">
        <v>160</v>
      </c>
      <c r="H22" s="72"/>
      <c r="I22" s="92">
        <f t="shared" si="0"/>
        <v>3</v>
      </c>
      <c r="J22" s="93" t="s">
        <v>106</v>
      </c>
      <c r="K22" s="93" t="s">
        <v>108</v>
      </c>
      <c r="L22" s="96" t="s">
        <v>186</v>
      </c>
      <c r="M22" s="97" t="str">
        <f t="shared" si="5"/>
        <v/>
      </c>
      <c r="N22" s="97" t="str">
        <f t="shared" si="5"/>
        <v/>
      </c>
      <c r="O22" s="97" t="str">
        <f t="shared" si="5"/>
        <v/>
      </c>
      <c r="P22" s="97" t="str">
        <f t="shared" si="5"/>
        <v/>
      </c>
      <c r="Q22" s="97" t="str">
        <f t="shared" si="5"/>
        <v/>
      </c>
      <c r="R22" s="97" t="str">
        <f t="shared" si="5"/>
        <v/>
      </c>
      <c r="S22" s="97" t="str">
        <f t="shared" si="5"/>
        <v/>
      </c>
      <c r="T22" s="97" t="str">
        <f t="shared" si="5"/>
        <v/>
      </c>
      <c r="U22" s="97" t="str">
        <f t="shared" si="5"/>
        <v/>
      </c>
      <c r="V22" s="97" t="str">
        <f t="shared" si="5"/>
        <v/>
      </c>
      <c r="W22" s="97" t="str">
        <f t="shared" si="6"/>
        <v/>
      </c>
      <c r="X22" s="97" t="str">
        <f t="shared" si="6"/>
        <v/>
      </c>
      <c r="Y22" s="97" t="str">
        <f t="shared" si="6"/>
        <v/>
      </c>
      <c r="Z22" s="97" t="str">
        <f t="shared" si="6"/>
        <v/>
      </c>
      <c r="AA22" s="97" t="str">
        <f t="shared" si="6"/>
        <v/>
      </c>
      <c r="AB22" s="98" t="str">
        <f t="shared" si="6"/>
        <v>M1</v>
      </c>
      <c r="AC22" s="97" t="str">
        <f t="shared" si="6"/>
        <v/>
      </c>
      <c r="AD22" s="97" t="str">
        <f t="shared" si="6"/>
        <v/>
      </c>
      <c r="AE22" s="97" t="str">
        <f t="shared" si="6"/>
        <v/>
      </c>
      <c r="AF22" s="97" t="str">
        <f t="shared" si="6"/>
        <v/>
      </c>
      <c r="AG22" s="97" t="str">
        <f t="shared" si="7"/>
        <v/>
      </c>
      <c r="AH22" s="97" t="str">
        <f t="shared" si="7"/>
        <v/>
      </c>
      <c r="AI22" s="97" t="str">
        <f t="shared" si="7"/>
        <v/>
      </c>
      <c r="AJ22" s="97" t="str">
        <f t="shared" si="7"/>
        <v/>
      </c>
      <c r="AK22" s="97" t="str">
        <f t="shared" si="7"/>
        <v/>
      </c>
      <c r="AL22" s="97" t="str">
        <f t="shared" si="7"/>
        <v/>
      </c>
      <c r="AM22" s="97" t="str">
        <f t="shared" si="7"/>
        <v/>
      </c>
      <c r="AN22" s="97" t="str">
        <f t="shared" si="7"/>
        <v/>
      </c>
      <c r="AO22" s="97" t="str">
        <f t="shared" si="7"/>
        <v/>
      </c>
      <c r="AP22" s="97" t="str">
        <f t="shared" si="7"/>
        <v/>
      </c>
      <c r="AQ22" s="97" t="str">
        <f t="shared" si="8"/>
        <v/>
      </c>
      <c r="AR22" s="97" t="str">
        <f t="shared" si="8"/>
        <v/>
      </c>
      <c r="AS22" s="97" t="str">
        <f t="shared" si="8"/>
        <v/>
      </c>
      <c r="AT22" s="97" t="str">
        <f t="shared" si="8"/>
        <v/>
      </c>
      <c r="AU22" s="97" t="str">
        <f t="shared" si="8"/>
        <v/>
      </c>
      <c r="AV22" s="97" t="str">
        <f t="shared" si="8"/>
        <v/>
      </c>
      <c r="AW22" s="97" t="str">
        <f t="shared" si="8"/>
        <v/>
      </c>
      <c r="AX22" s="97" t="str">
        <f t="shared" si="8"/>
        <v/>
      </c>
      <c r="AY22" s="97" t="str">
        <f t="shared" si="8"/>
        <v/>
      </c>
    </row>
    <row r="23" spans="1:51" ht="26" customHeight="1" x14ac:dyDescent="0.2">
      <c r="A23" s="70" t="s">
        <v>184</v>
      </c>
      <c r="B23" s="70" t="s">
        <v>177</v>
      </c>
      <c r="C23" s="71" t="s">
        <v>187</v>
      </c>
      <c r="D23" s="72" t="s">
        <v>138</v>
      </c>
      <c r="E23" s="72"/>
      <c r="F23" s="112"/>
      <c r="G23" s="100" t="s">
        <v>160</v>
      </c>
      <c r="H23" s="72"/>
      <c r="I23" s="92">
        <f t="shared" si="0"/>
        <v>5</v>
      </c>
      <c r="J23" s="93" t="s">
        <v>109</v>
      </c>
      <c r="K23" s="93" t="s">
        <v>113</v>
      </c>
      <c r="L23" s="96" t="s">
        <v>188</v>
      </c>
      <c r="M23" s="97" t="str">
        <f t="shared" si="5"/>
        <v/>
      </c>
      <c r="N23" s="97" t="str">
        <f t="shared" si="5"/>
        <v/>
      </c>
      <c r="O23" s="97" t="str">
        <f t="shared" si="5"/>
        <v/>
      </c>
      <c r="P23" s="97" t="str">
        <f t="shared" si="5"/>
        <v/>
      </c>
      <c r="Q23" s="97" t="str">
        <f t="shared" si="5"/>
        <v/>
      </c>
      <c r="R23" s="97" t="str">
        <f t="shared" si="5"/>
        <v/>
      </c>
      <c r="S23" s="97" t="str">
        <f t="shared" si="5"/>
        <v/>
      </c>
      <c r="T23" s="97" t="str">
        <f t="shared" si="5"/>
        <v/>
      </c>
      <c r="U23" s="97" t="str">
        <f t="shared" si="5"/>
        <v/>
      </c>
      <c r="V23" s="97" t="str">
        <f t="shared" si="5"/>
        <v/>
      </c>
      <c r="W23" s="97" t="str">
        <f t="shared" si="6"/>
        <v/>
      </c>
      <c r="X23" s="97" t="str">
        <f t="shared" si="6"/>
        <v/>
      </c>
      <c r="Y23" s="97" t="str">
        <f t="shared" si="6"/>
        <v/>
      </c>
      <c r="Z23" s="97" t="str">
        <f t="shared" si="6"/>
        <v/>
      </c>
      <c r="AA23" s="97" t="str">
        <f t="shared" si="6"/>
        <v/>
      </c>
      <c r="AB23" s="97" t="str">
        <f t="shared" si="6"/>
        <v/>
      </c>
      <c r="AC23" s="97" t="str">
        <f t="shared" si="6"/>
        <v/>
      </c>
      <c r="AD23" s="97" t="str">
        <f t="shared" si="6"/>
        <v/>
      </c>
      <c r="AE23" s="98" t="str">
        <f t="shared" si="6"/>
        <v>M2</v>
      </c>
      <c r="AF23" s="97" t="str">
        <f t="shared" si="6"/>
        <v/>
      </c>
      <c r="AG23" s="97" t="str">
        <f t="shared" si="7"/>
        <v/>
      </c>
      <c r="AH23" s="97" t="str">
        <f t="shared" si="7"/>
        <v/>
      </c>
      <c r="AI23" s="97" t="str">
        <f t="shared" si="7"/>
        <v/>
      </c>
      <c r="AJ23" s="97" t="str">
        <f t="shared" si="7"/>
        <v/>
      </c>
      <c r="AK23" s="97" t="str">
        <f t="shared" si="7"/>
        <v/>
      </c>
      <c r="AL23" s="97" t="str">
        <f t="shared" si="7"/>
        <v/>
      </c>
      <c r="AM23" s="97" t="str">
        <f t="shared" si="7"/>
        <v/>
      </c>
      <c r="AN23" s="97" t="str">
        <f t="shared" si="7"/>
        <v/>
      </c>
      <c r="AO23" s="97" t="str">
        <f t="shared" si="7"/>
        <v/>
      </c>
      <c r="AP23" s="97" t="str">
        <f t="shared" si="7"/>
        <v/>
      </c>
      <c r="AQ23" s="97" t="str">
        <f t="shared" si="8"/>
        <v/>
      </c>
      <c r="AR23" s="97" t="str">
        <f t="shared" si="8"/>
        <v/>
      </c>
      <c r="AS23" s="97" t="str">
        <f t="shared" si="8"/>
        <v/>
      </c>
      <c r="AT23" s="97" t="str">
        <f t="shared" si="8"/>
        <v/>
      </c>
      <c r="AU23" s="97" t="str">
        <f t="shared" si="8"/>
        <v/>
      </c>
      <c r="AV23" s="97" t="str">
        <f t="shared" si="8"/>
        <v/>
      </c>
      <c r="AW23" s="97" t="str">
        <f t="shared" si="8"/>
        <v/>
      </c>
      <c r="AX23" s="97" t="str">
        <f t="shared" si="8"/>
        <v/>
      </c>
      <c r="AY23" s="97" t="str">
        <f t="shared" si="8"/>
        <v/>
      </c>
    </row>
    <row r="24" spans="1:51" ht="26" customHeight="1" x14ac:dyDescent="0.2">
      <c r="A24" s="70" t="s">
        <v>189</v>
      </c>
      <c r="B24" s="70" t="s">
        <v>190</v>
      </c>
      <c r="C24" s="71" t="s">
        <v>191</v>
      </c>
      <c r="D24" s="72" t="s">
        <v>154</v>
      </c>
      <c r="E24" s="72"/>
      <c r="F24" s="112"/>
      <c r="G24" s="100" t="s">
        <v>160</v>
      </c>
      <c r="H24" s="72"/>
      <c r="I24" s="92">
        <f t="shared" si="0"/>
        <v>35</v>
      </c>
      <c r="J24" s="93" t="s">
        <v>95</v>
      </c>
      <c r="K24" s="93" t="s">
        <v>129</v>
      </c>
      <c r="L24" s="96" t="s">
        <v>192</v>
      </c>
      <c r="M24" s="97" t="str">
        <f t="shared" si="5"/>
        <v/>
      </c>
      <c r="N24" s="97" t="str">
        <f t="shared" si="5"/>
        <v/>
      </c>
      <c r="O24" s="97" t="str">
        <f t="shared" si="5"/>
        <v/>
      </c>
      <c r="P24" s="97" t="str">
        <f t="shared" si="5"/>
        <v/>
      </c>
      <c r="Q24" s="97">
        <f t="shared" si="5"/>
        <v>35</v>
      </c>
      <c r="R24" s="97" t="str">
        <f t="shared" si="5"/>
        <v/>
      </c>
      <c r="S24" s="97" t="str">
        <f t="shared" si="5"/>
        <v/>
      </c>
      <c r="T24" s="97" t="str">
        <f t="shared" si="5"/>
        <v/>
      </c>
      <c r="U24" s="97" t="str">
        <f t="shared" si="5"/>
        <v/>
      </c>
      <c r="V24" s="97" t="str">
        <f t="shared" si="5"/>
        <v/>
      </c>
      <c r="W24" s="97" t="str">
        <f t="shared" si="6"/>
        <v/>
      </c>
      <c r="X24" s="97" t="str">
        <f t="shared" si="6"/>
        <v/>
      </c>
      <c r="Y24" s="97" t="str">
        <f t="shared" si="6"/>
        <v/>
      </c>
      <c r="Z24" s="97" t="str">
        <f t="shared" si="6"/>
        <v/>
      </c>
      <c r="AA24" s="97" t="str">
        <f t="shared" si="6"/>
        <v/>
      </c>
      <c r="AB24" s="97" t="str">
        <f t="shared" si="6"/>
        <v/>
      </c>
      <c r="AC24" s="97" t="str">
        <f t="shared" si="6"/>
        <v/>
      </c>
      <c r="AD24" s="97" t="str">
        <f t="shared" si="6"/>
        <v/>
      </c>
      <c r="AE24" s="97" t="str">
        <f t="shared" si="6"/>
        <v/>
      </c>
      <c r="AF24" s="97" t="str">
        <f t="shared" si="6"/>
        <v/>
      </c>
      <c r="AG24" s="97" t="str">
        <f t="shared" si="7"/>
        <v/>
      </c>
      <c r="AH24" s="97" t="str">
        <f t="shared" si="7"/>
        <v/>
      </c>
      <c r="AI24" s="97" t="str">
        <f t="shared" si="7"/>
        <v/>
      </c>
      <c r="AJ24" s="97" t="str">
        <f t="shared" si="7"/>
        <v/>
      </c>
      <c r="AK24" s="97" t="str">
        <f t="shared" si="7"/>
        <v/>
      </c>
      <c r="AL24" s="97" t="str">
        <f t="shared" si="7"/>
        <v/>
      </c>
      <c r="AM24" s="97" t="str">
        <f t="shared" si="7"/>
        <v/>
      </c>
      <c r="AN24" s="97" t="str">
        <f t="shared" si="7"/>
        <v/>
      </c>
      <c r="AO24" s="97" t="str">
        <f t="shared" si="7"/>
        <v/>
      </c>
      <c r="AP24" s="97" t="str">
        <f t="shared" si="7"/>
        <v/>
      </c>
      <c r="AQ24" s="97" t="str">
        <f t="shared" si="8"/>
        <v/>
      </c>
      <c r="AR24" s="97" t="str">
        <f t="shared" si="8"/>
        <v/>
      </c>
      <c r="AS24" s="97" t="str">
        <f t="shared" si="8"/>
        <v/>
      </c>
      <c r="AT24" s="97" t="str">
        <f t="shared" si="8"/>
        <v/>
      </c>
      <c r="AU24" s="97" t="str">
        <f t="shared" si="8"/>
        <v/>
      </c>
      <c r="AV24" s="97" t="str">
        <f t="shared" si="8"/>
        <v/>
      </c>
      <c r="AW24" s="97" t="str">
        <f t="shared" si="8"/>
        <v/>
      </c>
      <c r="AX24" s="97" t="str">
        <f t="shared" si="8"/>
        <v/>
      </c>
      <c r="AY24" s="97" t="str">
        <f t="shared" si="8"/>
        <v/>
      </c>
    </row>
    <row r="25" spans="1:51" ht="26" customHeight="1" x14ac:dyDescent="0.2">
      <c r="A25" s="119" t="s">
        <v>193</v>
      </c>
      <c r="B25" s="119"/>
      <c r="C25" s="120"/>
      <c r="D25" s="119"/>
      <c r="E25" s="119"/>
      <c r="F25" s="121"/>
      <c r="G25" s="119"/>
      <c r="H25" s="119"/>
      <c r="I25" s="122"/>
      <c r="J25" s="123"/>
      <c r="K25" s="123"/>
      <c r="L25" s="120"/>
      <c r="M25" s="124"/>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row>
    <row r="26" spans="1:51" ht="26" customHeight="1" x14ac:dyDescent="0.2">
      <c r="A26" s="70" t="s">
        <v>194</v>
      </c>
      <c r="B26" s="70" t="s">
        <v>195</v>
      </c>
      <c r="C26" s="71" t="s">
        <v>196</v>
      </c>
      <c r="D26" s="72"/>
      <c r="E26" s="102" t="s">
        <v>197</v>
      </c>
      <c r="F26" s="114" t="s">
        <v>370</v>
      </c>
      <c r="G26" s="109" t="s">
        <v>135</v>
      </c>
      <c r="H26" s="79">
        <v>1</v>
      </c>
      <c r="I26" s="92">
        <f t="shared" ref="I26:I52" si="9">_xlfn.LET(_xlpm.gs,$J26,_xlpm.hs,$K26,_xlpm.gd,IFERROR(DATEVALUE(_xlpm.gs),""),_xlpm.hd,IFERROR(DATEVALUE(_xlpm.hs),""),_xlpm.s,IF(ISNUMBER(_xlpm.gs),_xlpm.gs,IF(_xlpm.gd="","",DATE(2026+(MONTH(_xlpm.gd)&lt;6),MONTH(_xlpm.gd),DAY(_xlpm.gd)))),_xlpm.h,IF(ISNUMBER(_xlpm.hs),_xlpm.hs,IF(_xlpm.hd="","",DATE(2026+(MONTH(_xlpm.hd)&lt;6),MONTH(_xlpm.hd),DAY(_xlpm.hd)))),IF(OR(_xlpm.s="",_xlpm.h=""),"",ROUNDUP((_xlpm.h-_xlpm.s+1)/7,0)))</f>
        <v>4</v>
      </c>
      <c r="J26" s="93">
        <v>46216</v>
      </c>
      <c r="K26" s="93">
        <v>46243</v>
      </c>
      <c r="L26" s="96" t="s">
        <v>198</v>
      </c>
      <c r="M26" s="97" t="str">
        <f t="shared" ref="M26:V35" si="10">_xlfn.LET(_xlpm.gs,$J26,_xlpm.hs,$K26,_xlpm.fs,$I26,_xlpm.ms,$D26,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N26" s="97" t="str">
        <f t="shared" si="10"/>
        <v/>
      </c>
      <c r="O26" s="97" t="str">
        <f t="shared" si="10"/>
        <v/>
      </c>
      <c r="P26" s="97" t="str">
        <f t="shared" si="10"/>
        <v/>
      </c>
      <c r="Q26" s="97" t="str">
        <f t="shared" si="10"/>
        <v/>
      </c>
      <c r="R26" s="98" t="str">
        <f t="shared" si="10"/>
        <v/>
      </c>
      <c r="S26" s="97">
        <f t="shared" si="10"/>
        <v>4</v>
      </c>
      <c r="T26" s="97" t="str">
        <f t="shared" si="10"/>
        <v/>
      </c>
      <c r="U26" s="97" t="str">
        <f t="shared" si="10"/>
        <v/>
      </c>
      <c r="V26" s="97" t="str">
        <f t="shared" si="10"/>
        <v/>
      </c>
      <c r="W26" s="97" t="str">
        <f t="shared" ref="W26:AF35" si="11">_xlfn.LET(_xlpm.gs,$J26,_xlpm.hs,$K26,_xlpm.fs,$I26,_xlpm.ms,$D26,_xlpm.ws,W$5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X26" s="97" t="str">
        <f t="shared" si="11"/>
        <v/>
      </c>
      <c r="Y26" s="97" t="str">
        <f t="shared" si="11"/>
        <v/>
      </c>
      <c r="Z26" s="97" t="str">
        <f t="shared" si="11"/>
        <v/>
      </c>
      <c r="AA26" s="97" t="str">
        <f t="shared" si="11"/>
        <v/>
      </c>
      <c r="AB26" s="97" t="str">
        <f t="shared" si="11"/>
        <v/>
      </c>
      <c r="AC26" s="97" t="str">
        <f t="shared" si="11"/>
        <v/>
      </c>
      <c r="AD26" s="97" t="str">
        <f t="shared" si="11"/>
        <v/>
      </c>
      <c r="AE26" s="97" t="str">
        <f t="shared" si="11"/>
        <v/>
      </c>
      <c r="AF26" s="97" t="str">
        <f t="shared" si="11"/>
        <v/>
      </c>
      <c r="AG26" s="97" t="str">
        <f t="shared" ref="AG26:AP35" si="12">_xlfn.LET(_xlpm.gs,$J26,_xlpm.hs,$K26,_xlpm.fs,$I26,_xlpm.ms,$D26,_xlpm.ws,AG$5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H26" s="97" t="str">
        <f t="shared" si="12"/>
        <v/>
      </c>
      <c r="AI26" s="97" t="str">
        <f t="shared" si="12"/>
        <v/>
      </c>
      <c r="AJ26" s="97" t="str">
        <f t="shared" si="12"/>
        <v/>
      </c>
      <c r="AK26" s="97" t="str">
        <f t="shared" si="12"/>
        <v/>
      </c>
      <c r="AL26" s="97" t="str">
        <f t="shared" si="12"/>
        <v/>
      </c>
      <c r="AM26" s="97" t="str">
        <f t="shared" si="12"/>
        <v/>
      </c>
      <c r="AN26" s="97" t="str">
        <f t="shared" si="12"/>
        <v/>
      </c>
      <c r="AO26" s="97" t="str">
        <f t="shared" si="12"/>
        <v/>
      </c>
      <c r="AP26" s="97" t="str">
        <f t="shared" si="12"/>
        <v/>
      </c>
      <c r="AQ26" s="97" t="str">
        <f t="shared" ref="AQ26:AY35" si="13">_xlfn.LET(_xlpm.gs,$J26,_xlpm.hs,$K26,_xlpm.fs,$I26,_xlpm.ms,$D26,_xlpm.ws,AQ$5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R26" s="97" t="str">
        <f t="shared" si="13"/>
        <v/>
      </c>
      <c r="AS26" s="97" t="str">
        <f t="shared" si="13"/>
        <v/>
      </c>
      <c r="AT26" s="97" t="str">
        <f t="shared" si="13"/>
        <v/>
      </c>
      <c r="AU26" s="97" t="str">
        <f t="shared" si="13"/>
        <v/>
      </c>
      <c r="AV26" s="97" t="str">
        <f t="shared" si="13"/>
        <v/>
      </c>
      <c r="AW26" s="97" t="str">
        <f t="shared" si="13"/>
        <v/>
      </c>
      <c r="AX26" s="97" t="str">
        <f t="shared" si="13"/>
        <v/>
      </c>
      <c r="AY26" s="97" t="str">
        <f t="shared" si="13"/>
        <v/>
      </c>
    </row>
    <row r="27" spans="1:51" ht="26" customHeight="1" x14ac:dyDescent="0.2">
      <c r="A27" s="70" t="s">
        <v>194</v>
      </c>
      <c r="B27" s="70" t="s">
        <v>199</v>
      </c>
      <c r="C27" s="71" t="s">
        <v>200</v>
      </c>
      <c r="D27" s="72"/>
      <c r="E27" s="102" t="s">
        <v>201</v>
      </c>
      <c r="F27" s="114" t="s">
        <v>373</v>
      </c>
      <c r="G27" s="111" t="s">
        <v>160</v>
      </c>
      <c r="H27" s="79">
        <v>1</v>
      </c>
      <c r="I27" s="92" t="str">
        <f t="shared" si="9"/>
        <v/>
      </c>
      <c r="J27" s="93"/>
      <c r="K27" s="93"/>
      <c r="L27" s="96"/>
      <c r="M27" s="97" t="str">
        <f t="shared" si="10"/>
        <v/>
      </c>
      <c r="N27" s="97" t="str">
        <f t="shared" si="10"/>
        <v/>
      </c>
      <c r="O27" s="97" t="str">
        <f t="shared" si="10"/>
        <v/>
      </c>
      <c r="P27" s="97" t="str">
        <f t="shared" si="10"/>
        <v/>
      </c>
      <c r="Q27" s="97" t="str">
        <f t="shared" si="10"/>
        <v/>
      </c>
      <c r="R27" s="98" t="str">
        <f t="shared" si="10"/>
        <v/>
      </c>
      <c r="S27" s="97" t="str">
        <f t="shared" si="10"/>
        <v/>
      </c>
      <c r="T27" s="97" t="str">
        <f t="shared" si="10"/>
        <v/>
      </c>
      <c r="U27" s="97" t="str">
        <f t="shared" si="10"/>
        <v/>
      </c>
      <c r="V27" s="97" t="str">
        <f t="shared" si="10"/>
        <v/>
      </c>
      <c r="W27" s="97" t="str">
        <f t="shared" si="11"/>
        <v/>
      </c>
      <c r="X27" s="97" t="str">
        <f t="shared" si="11"/>
        <v/>
      </c>
      <c r="Y27" s="97" t="str">
        <f t="shared" si="11"/>
        <v/>
      </c>
      <c r="Z27" s="97" t="str">
        <f t="shared" si="11"/>
        <v/>
      </c>
      <c r="AA27" s="97" t="str">
        <f t="shared" si="11"/>
        <v/>
      </c>
      <c r="AB27" s="97" t="str">
        <f t="shared" si="11"/>
        <v/>
      </c>
      <c r="AC27" s="97" t="str">
        <f t="shared" si="11"/>
        <v/>
      </c>
      <c r="AD27" s="97" t="str">
        <f t="shared" si="11"/>
        <v/>
      </c>
      <c r="AE27" s="97" t="str">
        <f t="shared" si="11"/>
        <v/>
      </c>
      <c r="AF27" s="97" t="str">
        <f t="shared" si="11"/>
        <v/>
      </c>
      <c r="AG27" s="97" t="str">
        <f t="shared" si="12"/>
        <v/>
      </c>
      <c r="AH27" s="97" t="str">
        <f t="shared" si="12"/>
        <v/>
      </c>
      <c r="AI27" s="97" t="str">
        <f t="shared" si="12"/>
        <v/>
      </c>
      <c r="AJ27" s="97" t="str">
        <f t="shared" si="12"/>
        <v/>
      </c>
      <c r="AK27" s="97" t="str">
        <f t="shared" si="12"/>
        <v/>
      </c>
      <c r="AL27" s="97" t="str">
        <f t="shared" si="12"/>
        <v/>
      </c>
      <c r="AM27" s="97" t="str">
        <f t="shared" si="12"/>
        <v/>
      </c>
      <c r="AN27" s="97" t="str">
        <f t="shared" si="12"/>
        <v/>
      </c>
      <c r="AO27" s="97" t="str">
        <f t="shared" si="12"/>
        <v/>
      </c>
      <c r="AP27" s="97" t="str">
        <f t="shared" si="12"/>
        <v/>
      </c>
      <c r="AQ27" s="97" t="str">
        <f t="shared" si="13"/>
        <v/>
      </c>
      <c r="AR27" s="97" t="str">
        <f t="shared" si="13"/>
        <v/>
      </c>
      <c r="AS27" s="97" t="str">
        <f t="shared" si="13"/>
        <v/>
      </c>
      <c r="AT27" s="97" t="str">
        <f t="shared" si="13"/>
        <v/>
      </c>
      <c r="AU27" s="97" t="str">
        <f t="shared" si="13"/>
        <v/>
      </c>
      <c r="AV27" s="97" t="str">
        <f t="shared" si="13"/>
        <v/>
      </c>
      <c r="AW27" s="97" t="str">
        <f t="shared" si="13"/>
        <v/>
      </c>
      <c r="AX27" s="97" t="str">
        <f t="shared" si="13"/>
        <v/>
      </c>
      <c r="AY27" s="97" t="str">
        <f t="shared" si="13"/>
        <v/>
      </c>
    </row>
    <row r="28" spans="1:51" ht="26" customHeight="1" x14ac:dyDescent="0.2">
      <c r="A28" s="70" t="s">
        <v>194</v>
      </c>
      <c r="B28" s="70" t="s">
        <v>199</v>
      </c>
      <c r="C28" s="71" t="s">
        <v>202</v>
      </c>
      <c r="D28" s="72"/>
      <c r="E28" s="105" t="s">
        <v>203</v>
      </c>
      <c r="F28" s="115" t="s">
        <v>372</v>
      </c>
      <c r="G28" s="110" t="s">
        <v>144</v>
      </c>
      <c r="H28" s="79">
        <v>1</v>
      </c>
      <c r="I28" s="92">
        <f t="shared" si="9"/>
        <v>1</v>
      </c>
      <c r="J28" s="93">
        <v>46237</v>
      </c>
      <c r="K28" s="93">
        <v>46243</v>
      </c>
      <c r="L28" s="96" t="s">
        <v>204</v>
      </c>
      <c r="M28" s="97" t="str">
        <f t="shared" si="10"/>
        <v/>
      </c>
      <c r="N28" s="97" t="str">
        <f t="shared" si="10"/>
        <v/>
      </c>
      <c r="O28" s="97" t="str">
        <f t="shared" si="10"/>
        <v/>
      </c>
      <c r="P28" s="97" t="str">
        <f t="shared" si="10"/>
        <v/>
      </c>
      <c r="Q28" s="97" t="str">
        <f t="shared" si="10"/>
        <v/>
      </c>
      <c r="R28" s="98" t="str">
        <f t="shared" si="10"/>
        <v/>
      </c>
      <c r="S28" s="97" t="str">
        <f t="shared" si="10"/>
        <v/>
      </c>
      <c r="T28" s="97" t="str">
        <f t="shared" si="10"/>
        <v/>
      </c>
      <c r="U28" s="97" t="str">
        <f t="shared" si="10"/>
        <v/>
      </c>
      <c r="V28" s="97">
        <f t="shared" si="10"/>
        <v>1</v>
      </c>
      <c r="W28" s="97" t="str">
        <f t="shared" si="11"/>
        <v/>
      </c>
      <c r="X28" s="97" t="str">
        <f t="shared" si="11"/>
        <v/>
      </c>
      <c r="Y28" s="97" t="str">
        <f t="shared" si="11"/>
        <v/>
      </c>
      <c r="Z28" s="97" t="str">
        <f t="shared" si="11"/>
        <v/>
      </c>
      <c r="AA28" s="97" t="str">
        <f t="shared" si="11"/>
        <v/>
      </c>
      <c r="AB28" s="97" t="str">
        <f t="shared" si="11"/>
        <v/>
      </c>
      <c r="AC28" s="97" t="str">
        <f t="shared" si="11"/>
        <v/>
      </c>
      <c r="AD28" s="97" t="str">
        <f t="shared" si="11"/>
        <v/>
      </c>
      <c r="AE28" s="97" t="str">
        <f t="shared" si="11"/>
        <v/>
      </c>
      <c r="AF28" s="97" t="str">
        <f t="shared" si="11"/>
        <v/>
      </c>
      <c r="AG28" s="97" t="str">
        <f t="shared" si="12"/>
        <v/>
      </c>
      <c r="AH28" s="97" t="str">
        <f t="shared" si="12"/>
        <v/>
      </c>
      <c r="AI28" s="97" t="str">
        <f t="shared" si="12"/>
        <v/>
      </c>
      <c r="AJ28" s="97" t="str">
        <f t="shared" si="12"/>
        <v/>
      </c>
      <c r="AK28" s="97" t="str">
        <f t="shared" si="12"/>
        <v/>
      </c>
      <c r="AL28" s="97" t="str">
        <f t="shared" si="12"/>
        <v/>
      </c>
      <c r="AM28" s="97" t="str">
        <f t="shared" si="12"/>
        <v/>
      </c>
      <c r="AN28" s="97" t="str">
        <f t="shared" si="12"/>
        <v/>
      </c>
      <c r="AO28" s="97" t="str">
        <f t="shared" si="12"/>
        <v/>
      </c>
      <c r="AP28" s="97" t="str">
        <f t="shared" si="12"/>
        <v/>
      </c>
      <c r="AQ28" s="97" t="str">
        <f t="shared" si="13"/>
        <v/>
      </c>
      <c r="AR28" s="97" t="str">
        <f t="shared" si="13"/>
        <v/>
      </c>
      <c r="AS28" s="97" t="str">
        <f t="shared" si="13"/>
        <v/>
      </c>
      <c r="AT28" s="97" t="str">
        <f t="shared" si="13"/>
        <v/>
      </c>
      <c r="AU28" s="97" t="str">
        <f t="shared" si="13"/>
        <v/>
      </c>
      <c r="AV28" s="97" t="str">
        <f t="shared" si="13"/>
        <v/>
      </c>
      <c r="AW28" s="97" t="str">
        <f t="shared" si="13"/>
        <v/>
      </c>
      <c r="AX28" s="97" t="str">
        <f t="shared" si="13"/>
        <v/>
      </c>
      <c r="AY28" s="97" t="str">
        <f t="shared" si="13"/>
        <v/>
      </c>
    </row>
    <row r="29" spans="1:51" ht="26" customHeight="1" x14ac:dyDescent="0.2">
      <c r="A29" s="70" t="s">
        <v>194</v>
      </c>
      <c r="B29" s="70" t="s">
        <v>199</v>
      </c>
      <c r="C29" s="71" t="s">
        <v>205</v>
      </c>
      <c r="D29" s="72"/>
      <c r="E29" s="105" t="s">
        <v>206</v>
      </c>
      <c r="F29" s="115" t="s">
        <v>370</v>
      </c>
      <c r="G29" s="110" t="s">
        <v>144</v>
      </c>
      <c r="H29" s="79">
        <v>1</v>
      </c>
      <c r="I29" s="92">
        <f t="shared" si="9"/>
        <v>1</v>
      </c>
      <c r="J29" s="93">
        <v>46237</v>
      </c>
      <c r="K29" s="93">
        <v>46243</v>
      </c>
      <c r="L29" s="96"/>
      <c r="M29" s="97" t="str">
        <f t="shared" si="10"/>
        <v/>
      </c>
      <c r="N29" s="97" t="str">
        <f t="shared" si="10"/>
        <v/>
      </c>
      <c r="O29" s="97" t="str">
        <f t="shared" si="10"/>
        <v/>
      </c>
      <c r="P29" s="97" t="str">
        <f t="shared" si="10"/>
        <v/>
      </c>
      <c r="Q29" s="97" t="str">
        <f t="shared" si="10"/>
        <v/>
      </c>
      <c r="R29" s="98" t="str">
        <f t="shared" si="10"/>
        <v/>
      </c>
      <c r="S29" s="97" t="str">
        <f t="shared" si="10"/>
        <v/>
      </c>
      <c r="T29" s="97" t="str">
        <f t="shared" si="10"/>
        <v/>
      </c>
      <c r="U29" s="97" t="str">
        <f t="shared" si="10"/>
        <v/>
      </c>
      <c r="V29" s="97">
        <f t="shared" si="10"/>
        <v>1</v>
      </c>
      <c r="W29" s="97" t="str">
        <f t="shared" si="11"/>
        <v/>
      </c>
      <c r="X29" s="97" t="str">
        <f t="shared" si="11"/>
        <v/>
      </c>
      <c r="Y29" s="97" t="str">
        <f t="shared" si="11"/>
        <v/>
      </c>
      <c r="Z29" s="97" t="str">
        <f t="shared" si="11"/>
        <v/>
      </c>
      <c r="AA29" s="97" t="str">
        <f t="shared" si="11"/>
        <v/>
      </c>
      <c r="AB29" s="97" t="str">
        <f t="shared" si="11"/>
        <v/>
      </c>
      <c r="AC29" s="97" t="str">
        <f t="shared" si="11"/>
        <v/>
      </c>
      <c r="AD29" s="97" t="str">
        <f t="shared" si="11"/>
        <v/>
      </c>
      <c r="AE29" s="97" t="str">
        <f t="shared" si="11"/>
        <v/>
      </c>
      <c r="AF29" s="97" t="str">
        <f t="shared" si="11"/>
        <v/>
      </c>
      <c r="AG29" s="97" t="str">
        <f t="shared" si="12"/>
        <v/>
      </c>
      <c r="AH29" s="97" t="str">
        <f t="shared" si="12"/>
        <v/>
      </c>
      <c r="AI29" s="97" t="str">
        <f t="shared" si="12"/>
        <v/>
      </c>
      <c r="AJ29" s="97" t="str">
        <f t="shared" si="12"/>
        <v/>
      </c>
      <c r="AK29" s="97" t="str">
        <f t="shared" si="12"/>
        <v/>
      </c>
      <c r="AL29" s="97" t="str">
        <f t="shared" si="12"/>
        <v/>
      </c>
      <c r="AM29" s="97" t="str">
        <f t="shared" si="12"/>
        <v/>
      </c>
      <c r="AN29" s="97" t="str">
        <f t="shared" si="12"/>
        <v/>
      </c>
      <c r="AO29" s="97" t="str">
        <f t="shared" si="12"/>
        <v/>
      </c>
      <c r="AP29" s="97" t="str">
        <f t="shared" si="12"/>
        <v/>
      </c>
      <c r="AQ29" s="97" t="str">
        <f t="shared" si="13"/>
        <v/>
      </c>
      <c r="AR29" s="97" t="str">
        <f t="shared" si="13"/>
        <v/>
      </c>
      <c r="AS29" s="97" t="str">
        <f t="shared" si="13"/>
        <v/>
      </c>
      <c r="AT29" s="97" t="str">
        <f t="shared" si="13"/>
        <v/>
      </c>
      <c r="AU29" s="97" t="str">
        <f t="shared" si="13"/>
        <v/>
      </c>
      <c r="AV29" s="97" t="str">
        <f t="shared" si="13"/>
        <v/>
      </c>
      <c r="AW29" s="97" t="str">
        <f t="shared" si="13"/>
        <v/>
      </c>
      <c r="AX29" s="97" t="str">
        <f t="shared" si="13"/>
        <v/>
      </c>
      <c r="AY29" s="97" t="str">
        <f t="shared" si="13"/>
        <v/>
      </c>
    </row>
    <row r="30" spans="1:51" ht="26" customHeight="1" x14ac:dyDescent="0.2">
      <c r="A30" s="70" t="s">
        <v>194</v>
      </c>
      <c r="B30" s="70" t="s">
        <v>199</v>
      </c>
      <c r="C30" s="71" t="s">
        <v>207</v>
      </c>
      <c r="D30" s="72"/>
      <c r="E30" s="105" t="s">
        <v>208</v>
      </c>
      <c r="F30" s="115" t="s">
        <v>371</v>
      </c>
      <c r="G30" s="111" t="s">
        <v>160</v>
      </c>
      <c r="H30" s="79">
        <v>1</v>
      </c>
      <c r="I30" s="92" t="str">
        <f t="shared" si="9"/>
        <v/>
      </c>
      <c r="J30" s="93"/>
      <c r="K30" s="93"/>
      <c r="L30" s="96"/>
      <c r="M30" s="97" t="str">
        <f t="shared" si="10"/>
        <v/>
      </c>
      <c r="N30" s="97" t="str">
        <f t="shared" si="10"/>
        <v/>
      </c>
      <c r="O30" s="97" t="str">
        <f t="shared" si="10"/>
        <v/>
      </c>
      <c r="P30" s="97" t="str">
        <f t="shared" si="10"/>
        <v/>
      </c>
      <c r="Q30" s="97" t="str">
        <f t="shared" si="10"/>
        <v/>
      </c>
      <c r="R30" s="98" t="str">
        <f t="shared" si="10"/>
        <v/>
      </c>
      <c r="S30" s="97" t="str">
        <f t="shared" si="10"/>
        <v/>
      </c>
      <c r="T30" s="97" t="str">
        <f t="shared" si="10"/>
        <v/>
      </c>
      <c r="U30" s="97" t="str">
        <f t="shared" si="10"/>
        <v/>
      </c>
      <c r="V30" s="97" t="str">
        <f t="shared" si="10"/>
        <v/>
      </c>
      <c r="W30" s="97" t="str">
        <f t="shared" si="11"/>
        <v/>
      </c>
      <c r="X30" s="97" t="str">
        <f t="shared" si="11"/>
        <v/>
      </c>
      <c r="Y30" s="97" t="str">
        <f t="shared" si="11"/>
        <v/>
      </c>
      <c r="Z30" s="97" t="str">
        <f t="shared" si="11"/>
        <v/>
      </c>
      <c r="AA30" s="97" t="str">
        <f t="shared" si="11"/>
        <v/>
      </c>
      <c r="AB30" s="97" t="str">
        <f t="shared" si="11"/>
        <v/>
      </c>
      <c r="AC30" s="97" t="str">
        <f t="shared" si="11"/>
        <v/>
      </c>
      <c r="AD30" s="97" t="str">
        <f t="shared" si="11"/>
        <v/>
      </c>
      <c r="AE30" s="97" t="str">
        <f t="shared" si="11"/>
        <v/>
      </c>
      <c r="AF30" s="97" t="str">
        <f t="shared" si="11"/>
        <v/>
      </c>
      <c r="AG30" s="97" t="str">
        <f t="shared" si="12"/>
        <v/>
      </c>
      <c r="AH30" s="97" t="str">
        <f t="shared" si="12"/>
        <v/>
      </c>
      <c r="AI30" s="97" t="str">
        <f t="shared" si="12"/>
        <v/>
      </c>
      <c r="AJ30" s="97" t="str">
        <f t="shared" si="12"/>
        <v/>
      </c>
      <c r="AK30" s="97" t="str">
        <f t="shared" si="12"/>
        <v/>
      </c>
      <c r="AL30" s="97" t="str">
        <f t="shared" si="12"/>
        <v/>
      </c>
      <c r="AM30" s="97" t="str">
        <f t="shared" si="12"/>
        <v/>
      </c>
      <c r="AN30" s="97" t="str">
        <f t="shared" si="12"/>
        <v/>
      </c>
      <c r="AO30" s="97" t="str">
        <f t="shared" si="12"/>
        <v/>
      </c>
      <c r="AP30" s="97" t="str">
        <f t="shared" si="12"/>
        <v/>
      </c>
      <c r="AQ30" s="97" t="str">
        <f t="shared" si="13"/>
        <v/>
      </c>
      <c r="AR30" s="97" t="str">
        <f t="shared" si="13"/>
        <v/>
      </c>
      <c r="AS30" s="97" t="str">
        <f t="shared" si="13"/>
        <v/>
      </c>
      <c r="AT30" s="97" t="str">
        <f t="shared" si="13"/>
        <v/>
      </c>
      <c r="AU30" s="97" t="str">
        <f t="shared" si="13"/>
        <v/>
      </c>
      <c r="AV30" s="97" t="str">
        <f t="shared" si="13"/>
        <v/>
      </c>
      <c r="AW30" s="97" t="str">
        <f t="shared" si="13"/>
        <v/>
      </c>
      <c r="AX30" s="97" t="str">
        <f t="shared" si="13"/>
        <v/>
      </c>
      <c r="AY30" s="97" t="str">
        <f t="shared" si="13"/>
        <v/>
      </c>
    </row>
    <row r="31" spans="1:51" ht="26" customHeight="1" x14ac:dyDescent="0.2">
      <c r="A31" s="70" t="s">
        <v>194</v>
      </c>
      <c r="B31" s="70" t="s">
        <v>199</v>
      </c>
      <c r="C31" s="71" t="s">
        <v>209</v>
      </c>
      <c r="D31" s="72"/>
      <c r="E31" s="105" t="s">
        <v>210</v>
      </c>
      <c r="F31" s="115" t="s">
        <v>373</v>
      </c>
      <c r="G31" s="110" t="s">
        <v>144</v>
      </c>
      <c r="H31" s="79">
        <v>1</v>
      </c>
      <c r="I31" s="92">
        <f t="shared" si="9"/>
        <v>3</v>
      </c>
      <c r="J31" s="93">
        <v>46203</v>
      </c>
      <c r="K31" s="93">
        <v>46218</v>
      </c>
      <c r="L31" s="96"/>
      <c r="M31" s="97" t="str">
        <f t="shared" si="10"/>
        <v/>
      </c>
      <c r="N31" s="97" t="str">
        <f t="shared" si="10"/>
        <v/>
      </c>
      <c r="O31" s="97" t="str">
        <f t="shared" si="10"/>
        <v/>
      </c>
      <c r="P31" s="97" t="str">
        <f t="shared" si="10"/>
        <v/>
      </c>
      <c r="Q31" s="97">
        <f t="shared" si="10"/>
        <v>3</v>
      </c>
      <c r="R31" s="98" t="str">
        <f t="shared" si="10"/>
        <v/>
      </c>
      <c r="S31" s="97" t="str">
        <f t="shared" si="10"/>
        <v/>
      </c>
      <c r="T31" s="97" t="str">
        <f t="shared" si="10"/>
        <v/>
      </c>
      <c r="U31" s="97" t="str">
        <f t="shared" si="10"/>
        <v/>
      </c>
      <c r="V31" s="97" t="str">
        <f t="shared" si="10"/>
        <v/>
      </c>
      <c r="W31" s="97" t="str">
        <f t="shared" si="11"/>
        <v/>
      </c>
      <c r="X31" s="97" t="str">
        <f t="shared" si="11"/>
        <v/>
      </c>
      <c r="Y31" s="97" t="str">
        <f t="shared" si="11"/>
        <v/>
      </c>
      <c r="Z31" s="97" t="str">
        <f t="shared" si="11"/>
        <v/>
      </c>
      <c r="AA31" s="97" t="str">
        <f t="shared" si="11"/>
        <v/>
      </c>
      <c r="AB31" s="97" t="str">
        <f t="shared" si="11"/>
        <v/>
      </c>
      <c r="AC31" s="97" t="str">
        <f t="shared" si="11"/>
        <v/>
      </c>
      <c r="AD31" s="97" t="str">
        <f t="shared" si="11"/>
        <v/>
      </c>
      <c r="AE31" s="97" t="str">
        <f t="shared" si="11"/>
        <v/>
      </c>
      <c r="AF31" s="97" t="str">
        <f t="shared" si="11"/>
        <v/>
      </c>
      <c r="AG31" s="97" t="str">
        <f t="shared" si="12"/>
        <v/>
      </c>
      <c r="AH31" s="97" t="str">
        <f t="shared" si="12"/>
        <v/>
      </c>
      <c r="AI31" s="97" t="str">
        <f t="shared" si="12"/>
        <v/>
      </c>
      <c r="AJ31" s="97" t="str">
        <f t="shared" si="12"/>
        <v/>
      </c>
      <c r="AK31" s="97" t="str">
        <f t="shared" si="12"/>
        <v/>
      </c>
      <c r="AL31" s="97" t="str">
        <f t="shared" si="12"/>
        <v/>
      </c>
      <c r="AM31" s="97" t="str">
        <f t="shared" si="12"/>
        <v/>
      </c>
      <c r="AN31" s="97" t="str">
        <f t="shared" si="12"/>
        <v/>
      </c>
      <c r="AO31" s="97" t="str">
        <f t="shared" si="12"/>
        <v/>
      </c>
      <c r="AP31" s="97" t="str">
        <f t="shared" si="12"/>
        <v/>
      </c>
      <c r="AQ31" s="97" t="str">
        <f t="shared" si="13"/>
        <v/>
      </c>
      <c r="AR31" s="97" t="str">
        <f t="shared" si="13"/>
        <v/>
      </c>
      <c r="AS31" s="97" t="str">
        <f t="shared" si="13"/>
        <v/>
      </c>
      <c r="AT31" s="97" t="str">
        <f t="shared" si="13"/>
        <v/>
      </c>
      <c r="AU31" s="97" t="str">
        <f t="shared" si="13"/>
        <v/>
      </c>
      <c r="AV31" s="97" t="str">
        <f t="shared" si="13"/>
        <v/>
      </c>
      <c r="AW31" s="97" t="str">
        <f t="shared" si="13"/>
        <v/>
      </c>
      <c r="AX31" s="97" t="str">
        <f t="shared" si="13"/>
        <v/>
      </c>
      <c r="AY31" s="97" t="str">
        <f t="shared" si="13"/>
        <v/>
      </c>
    </row>
    <row r="32" spans="1:51" ht="26" customHeight="1" x14ac:dyDescent="0.2">
      <c r="A32" s="70" t="s">
        <v>194</v>
      </c>
      <c r="B32" s="70" t="s">
        <v>211</v>
      </c>
      <c r="C32" s="71" t="s">
        <v>212</v>
      </c>
      <c r="D32" s="72"/>
      <c r="E32" s="102" t="s">
        <v>213</v>
      </c>
      <c r="F32" s="114" t="s">
        <v>374</v>
      </c>
      <c r="G32" s="110" t="s">
        <v>144</v>
      </c>
      <c r="H32" s="79">
        <v>1</v>
      </c>
      <c r="I32" s="92">
        <f t="shared" si="9"/>
        <v>2</v>
      </c>
      <c r="J32" s="93">
        <v>46321</v>
      </c>
      <c r="K32" s="93">
        <v>46334</v>
      </c>
      <c r="L32" s="96" t="s">
        <v>214</v>
      </c>
      <c r="M32" s="97" t="str">
        <f t="shared" si="10"/>
        <v/>
      </c>
      <c r="N32" s="97" t="str">
        <f t="shared" si="10"/>
        <v/>
      </c>
      <c r="O32" s="97" t="str">
        <f t="shared" si="10"/>
        <v/>
      </c>
      <c r="P32" s="97" t="str">
        <f t="shared" si="10"/>
        <v/>
      </c>
      <c r="Q32" s="97" t="str">
        <f t="shared" si="10"/>
        <v/>
      </c>
      <c r="R32" s="97" t="str">
        <f t="shared" si="10"/>
        <v/>
      </c>
      <c r="S32" s="97" t="str">
        <f t="shared" si="10"/>
        <v/>
      </c>
      <c r="T32" s="98" t="str">
        <f t="shared" si="10"/>
        <v/>
      </c>
      <c r="U32" s="97" t="str">
        <f t="shared" si="10"/>
        <v/>
      </c>
      <c r="V32" s="97" t="str">
        <f t="shared" si="10"/>
        <v/>
      </c>
      <c r="W32" s="97" t="str">
        <f t="shared" si="11"/>
        <v/>
      </c>
      <c r="X32" s="97" t="str">
        <f t="shared" si="11"/>
        <v/>
      </c>
      <c r="Y32" s="97" t="str">
        <f t="shared" si="11"/>
        <v/>
      </c>
      <c r="Z32" s="97" t="str">
        <f t="shared" si="11"/>
        <v/>
      </c>
      <c r="AA32" s="97" t="str">
        <f t="shared" si="11"/>
        <v/>
      </c>
      <c r="AB32" s="97" t="str">
        <f t="shared" si="11"/>
        <v/>
      </c>
      <c r="AC32" s="97" t="str">
        <f t="shared" si="11"/>
        <v/>
      </c>
      <c r="AD32" s="97" t="str">
        <f t="shared" si="11"/>
        <v/>
      </c>
      <c r="AE32" s="97" t="str">
        <f t="shared" si="11"/>
        <v/>
      </c>
      <c r="AF32" s="97" t="str">
        <f t="shared" si="11"/>
        <v/>
      </c>
      <c r="AG32" s="97" t="str">
        <f t="shared" si="12"/>
        <v/>
      </c>
      <c r="AH32" s="97">
        <f t="shared" si="12"/>
        <v>2</v>
      </c>
      <c r="AI32" s="97" t="str">
        <f t="shared" si="12"/>
        <v/>
      </c>
      <c r="AJ32" s="97" t="str">
        <f t="shared" si="12"/>
        <v/>
      </c>
      <c r="AK32" s="97" t="str">
        <f t="shared" si="12"/>
        <v/>
      </c>
      <c r="AL32" s="97" t="str">
        <f t="shared" si="12"/>
        <v/>
      </c>
      <c r="AM32" s="97" t="str">
        <f t="shared" si="12"/>
        <v/>
      </c>
      <c r="AN32" s="97" t="str">
        <f t="shared" si="12"/>
        <v/>
      </c>
      <c r="AO32" s="97" t="str">
        <f t="shared" si="12"/>
        <v/>
      </c>
      <c r="AP32" s="97" t="str">
        <f t="shared" si="12"/>
        <v/>
      </c>
      <c r="AQ32" s="97" t="str">
        <f t="shared" si="13"/>
        <v/>
      </c>
      <c r="AR32" s="97" t="str">
        <f t="shared" si="13"/>
        <v/>
      </c>
      <c r="AS32" s="97" t="str">
        <f t="shared" si="13"/>
        <v/>
      </c>
      <c r="AT32" s="97" t="str">
        <f t="shared" si="13"/>
        <v/>
      </c>
      <c r="AU32" s="97" t="str">
        <f t="shared" si="13"/>
        <v/>
      </c>
      <c r="AV32" s="97" t="str">
        <f t="shared" si="13"/>
        <v/>
      </c>
      <c r="AW32" s="97" t="str">
        <f t="shared" si="13"/>
        <v/>
      </c>
      <c r="AX32" s="97" t="str">
        <f t="shared" si="13"/>
        <v/>
      </c>
      <c r="AY32" s="97" t="str">
        <f t="shared" si="13"/>
        <v/>
      </c>
    </row>
    <row r="33" spans="1:51" ht="26" customHeight="1" x14ac:dyDescent="0.2">
      <c r="A33" s="70" t="s">
        <v>194</v>
      </c>
      <c r="B33" s="70" t="s">
        <v>215</v>
      </c>
      <c r="C33" s="71" t="s">
        <v>216</v>
      </c>
      <c r="D33" s="72"/>
      <c r="E33" s="105" t="s">
        <v>217</v>
      </c>
      <c r="F33" s="115" t="s">
        <v>370</v>
      </c>
      <c r="G33" s="109" t="s">
        <v>135</v>
      </c>
      <c r="H33" s="81">
        <v>2</v>
      </c>
      <c r="I33" s="92" t="str">
        <f t="shared" si="9"/>
        <v/>
      </c>
      <c r="J33" s="93"/>
      <c r="K33" s="93"/>
      <c r="L33" s="96"/>
      <c r="M33" s="97" t="str">
        <f t="shared" si="10"/>
        <v/>
      </c>
      <c r="N33" s="97" t="str">
        <f t="shared" si="10"/>
        <v/>
      </c>
      <c r="O33" s="97" t="str">
        <f t="shared" si="10"/>
        <v/>
      </c>
      <c r="P33" s="97" t="str">
        <f t="shared" si="10"/>
        <v/>
      </c>
      <c r="Q33" s="97" t="str">
        <f t="shared" si="10"/>
        <v/>
      </c>
      <c r="R33" s="97" t="str">
        <f t="shared" si="10"/>
        <v/>
      </c>
      <c r="S33" s="97" t="str">
        <f t="shared" si="10"/>
        <v/>
      </c>
      <c r="T33" s="98" t="str">
        <f t="shared" si="10"/>
        <v/>
      </c>
      <c r="U33" s="97" t="str">
        <f t="shared" si="10"/>
        <v/>
      </c>
      <c r="V33" s="97" t="str">
        <f t="shared" si="10"/>
        <v/>
      </c>
      <c r="W33" s="97" t="str">
        <f t="shared" si="11"/>
        <v/>
      </c>
      <c r="X33" s="97" t="str">
        <f t="shared" si="11"/>
        <v/>
      </c>
      <c r="Y33" s="97" t="str">
        <f t="shared" si="11"/>
        <v/>
      </c>
      <c r="Z33" s="97" t="str">
        <f t="shared" si="11"/>
        <v/>
      </c>
      <c r="AA33" s="97" t="str">
        <f t="shared" si="11"/>
        <v/>
      </c>
      <c r="AB33" s="97" t="str">
        <f t="shared" si="11"/>
        <v/>
      </c>
      <c r="AC33" s="97" t="str">
        <f t="shared" si="11"/>
        <v/>
      </c>
      <c r="AD33" s="97" t="str">
        <f t="shared" si="11"/>
        <v/>
      </c>
      <c r="AE33" s="97" t="str">
        <f t="shared" si="11"/>
        <v/>
      </c>
      <c r="AF33" s="97" t="str">
        <f t="shared" si="11"/>
        <v/>
      </c>
      <c r="AG33" s="97" t="str">
        <f t="shared" si="12"/>
        <v/>
      </c>
      <c r="AH33" s="97" t="str">
        <f t="shared" si="12"/>
        <v/>
      </c>
      <c r="AI33" s="97" t="str">
        <f t="shared" si="12"/>
        <v/>
      </c>
      <c r="AJ33" s="97" t="str">
        <f t="shared" si="12"/>
        <v/>
      </c>
      <c r="AK33" s="97" t="str">
        <f t="shared" si="12"/>
        <v/>
      </c>
      <c r="AL33" s="97" t="str">
        <f t="shared" si="12"/>
        <v/>
      </c>
      <c r="AM33" s="97" t="str">
        <f t="shared" si="12"/>
        <v/>
      </c>
      <c r="AN33" s="97" t="str">
        <f t="shared" si="12"/>
        <v/>
      </c>
      <c r="AO33" s="97" t="str">
        <f t="shared" si="12"/>
        <v/>
      </c>
      <c r="AP33" s="97" t="str">
        <f t="shared" si="12"/>
        <v/>
      </c>
      <c r="AQ33" s="97" t="str">
        <f t="shared" si="13"/>
        <v/>
      </c>
      <c r="AR33" s="97" t="str">
        <f t="shared" si="13"/>
        <v/>
      </c>
      <c r="AS33" s="97" t="str">
        <f t="shared" si="13"/>
        <v/>
      </c>
      <c r="AT33" s="97" t="str">
        <f t="shared" si="13"/>
        <v/>
      </c>
      <c r="AU33" s="97" t="str">
        <f t="shared" si="13"/>
        <v/>
      </c>
      <c r="AV33" s="97" t="str">
        <f t="shared" si="13"/>
        <v/>
      </c>
      <c r="AW33" s="97" t="str">
        <f t="shared" si="13"/>
        <v/>
      </c>
      <c r="AX33" s="97" t="str">
        <f t="shared" si="13"/>
        <v/>
      </c>
      <c r="AY33" s="97" t="str">
        <f t="shared" si="13"/>
        <v/>
      </c>
    </row>
    <row r="34" spans="1:51" ht="26" customHeight="1" x14ac:dyDescent="0.2">
      <c r="A34" s="70" t="s">
        <v>194</v>
      </c>
      <c r="B34" s="70" t="s">
        <v>218</v>
      </c>
      <c r="C34" s="71" t="s">
        <v>219</v>
      </c>
      <c r="D34" s="72"/>
      <c r="E34" s="102" t="s">
        <v>220</v>
      </c>
      <c r="F34" s="114" t="s">
        <v>375</v>
      </c>
      <c r="G34" s="109" t="s">
        <v>135</v>
      </c>
      <c r="H34" s="82">
        <v>3</v>
      </c>
      <c r="I34" s="92" t="str">
        <f t="shared" si="9"/>
        <v/>
      </c>
      <c r="J34" s="93"/>
      <c r="K34" s="93"/>
      <c r="L34" s="96"/>
      <c r="M34" s="97" t="str">
        <f t="shared" si="10"/>
        <v/>
      </c>
      <c r="N34" s="97" t="str">
        <f t="shared" si="10"/>
        <v/>
      </c>
      <c r="O34" s="97" t="str">
        <f t="shared" si="10"/>
        <v/>
      </c>
      <c r="P34" s="97" t="str">
        <f t="shared" si="10"/>
        <v/>
      </c>
      <c r="Q34" s="97" t="str">
        <f t="shared" si="10"/>
        <v/>
      </c>
      <c r="R34" s="97" t="str">
        <f t="shared" si="10"/>
        <v/>
      </c>
      <c r="S34" s="97" t="str">
        <f t="shared" si="10"/>
        <v/>
      </c>
      <c r="T34" s="97" t="str">
        <f t="shared" si="10"/>
        <v/>
      </c>
      <c r="U34" s="97" t="str">
        <f t="shared" si="10"/>
        <v/>
      </c>
      <c r="V34" s="98" t="str">
        <f t="shared" si="10"/>
        <v/>
      </c>
      <c r="W34" s="97" t="str">
        <f t="shared" si="11"/>
        <v/>
      </c>
      <c r="X34" s="97" t="str">
        <f t="shared" si="11"/>
        <v/>
      </c>
      <c r="Y34" s="97" t="str">
        <f t="shared" si="11"/>
        <v/>
      </c>
      <c r="Z34" s="97" t="str">
        <f t="shared" si="11"/>
        <v/>
      </c>
      <c r="AA34" s="97" t="str">
        <f t="shared" si="11"/>
        <v/>
      </c>
      <c r="AB34" s="97" t="str">
        <f t="shared" si="11"/>
        <v/>
      </c>
      <c r="AC34" s="97" t="str">
        <f t="shared" si="11"/>
        <v/>
      </c>
      <c r="AD34" s="97" t="str">
        <f t="shared" si="11"/>
        <v/>
      </c>
      <c r="AE34" s="97" t="str">
        <f t="shared" si="11"/>
        <v/>
      </c>
      <c r="AF34" s="97" t="str">
        <f t="shared" si="11"/>
        <v/>
      </c>
      <c r="AG34" s="97" t="str">
        <f t="shared" si="12"/>
        <v/>
      </c>
      <c r="AH34" s="97" t="str">
        <f t="shared" si="12"/>
        <v/>
      </c>
      <c r="AI34" s="97" t="str">
        <f t="shared" si="12"/>
        <v/>
      </c>
      <c r="AJ34" s="97" t="str">
        <f t="shared" si="12"/>
        <v/>
      </c>
      <c r="AK34" s="97" t="str">
        <f t="shared" si="12"/>
        <v/>
      </c>
      <c r="AL34" s="97" t="str">
        <f t="shared" si="12"/>
        <v/>
      </c>
      <c r="AM34" s="97" t="str">
        <f t="shared" si="12"/>
        <v/>
      </c>
      <c r="AN34" s="97" t="str">
        <f t="shared" si="12"/>
        <v/>
      </c>
      <c r="AO34" s="97" t="str">
        <f t="shared" si="12"/>
        <v/>
      </c>
      <c r="AP34" s="97" t="str">
        <f t="shared" si="12"/>
        <v/>
      </c>
      <c r="AQ34" s="97" t="str">
        <f t="shared" si="13"/>
        <v/>
      </c>
      <c r="AR34" s="97" t="str">
        <f t="shared" si="13"/>
        <v/>
      </c>
      <c r="AS34" s="97" t="str">
        <f t="shared" si="13"/>
        <v/>
      </c>
      <c r="AT34" s="97" t="str">
        <f t="shared" si="13"/>
        <v/>
      </c>
      <c r="AU34" s="97" t="str">
        <f t="shared" si="13"/>
        <v/>
      </c>
      <c r="AV34" s="97" t="str">
        <f t="shared" si="13"/>
        <v/>
      </c>
      <c r="AW34" s="97" t="str">
        <f t="shared" si="13"/>
        <v/>
      </c>
      <c r="AX34" s="97" t="str">
        <f t="shared" si="13"/>
        <v/>
      </c>
      <c r="AY34" s="97" t="str">
        <f t="shared" si="13"/>
        <v/>
      </c>
    </row>
    <row r="35" spans="1:51" ht="26" customHeight="1" x14ac:dyDescent="0.2">
      <c r="A35" s="70" t="s">
        <v>194</v>
      </c>
      <c r="B35" s="70" t="s">
        <v>221</v>
      </c>
      <c r="C35" s="71" t="s">
        <v>222</v>
      </c>
      <c r="D35" s="72"/>
      <c r="E35" s="105" t="s">
        <v>223</v>
      </c>
      <c r="F35" s="115" t="s">
        <v>376</v>
      </c>
      <c r="G35" s="109" t="s">
        <v>135</v>
      </c>
      <c r="H35" s="82">
        <v>3</v>
      </c>
      <c r="I35" s="92">
        <f t="shared" si="9"/>
        <v>4</v>
      </c>
      <c r="J35" s="93">
        <v>46237</v>
      </c>
      <c r="K35" s="93">
        <v>46264</v>
      </c>
      <c r="L35" s="96"/>
      <c r="M35" s="97" t="str">
        <f t="shared" si="10"/>
        <v/>
      </c>
      <c r="N35" s="97" t="str">
        <f t="shared" si="10"/>
        <v/>
      </c>
      <c r="O35" s="97" t="str">
        <f t="shared" si="10"/>
        <v/>
      </c>
      <c r="P35" s="97" t="str">
        <f t="shared" si="10"/>
        <v/>
      </c>
      <c r="Q35" s="97" t="str">
        <f t="shared" si="10"/>
        <v/>
      </c>
      <c r="R35" s="97" t="str">
        <f t="shared" si="10"/>
        <v/>
      </c>
      <c r="S35" s="97" t="str">
        <f t="shared" si="10"/>
        <v/>
      </c>
      <c r="T35" s="97" t="str">
        <f t="shared" si="10"/>
        <v/>
      </c>
      <c r="U35" s="97" t="str">
        <f t="shared" si="10"/>
        <v/>
      </c>
      <c r="V35" s="98">
        <f t="shared" si="10"/>
        <v>4</v>
      </c>
      <c r="W35" s="97" t="str">
        <f t="shared" si="11"/>
        <v/>
      </c>
      <c r="X35" s="97" t="str">
        <f t="shared" si="11"/>
        <v/>
      </c>
      <c r="Y35" s="97" t="str">
        <f t="shared" si="11"/>
        <v/>
      </c>
      <c r="Z35" s="97" t="str">
        <f t="shared" si="11"/>
        <v/>
      </c>
      <c r="AA35" s="97" t="str">
        <f t="shared" si="11"/>
        <v/>
      </c>
      <c r="AB35" s="97" t="str">
        <f t="shared" si="11"/>
        <v/>
      </c>
      <c r="AC35" s="97" t="str">
        <f t="shared" si="11"/>
        <v/>
      </c>
      <c r="AD35" s="97" t="str">
        <f t="shared" si="11"/>
        <v/>
      </c>
      <c r="AE35" s="97" t="str">
        <f t="shared" si="11"/>
        <v/>
      </c>
      <c r="AF35" s="97" t="str">
        <f t="shared" si="11"/>
        <v/>
      </c>
      <c r="AG35" s="97" t="str">
        <f t="shared" si="12"/>
        <v/>
      </c>
      <c r="AH35" s="97" t="str">
        <f t="shared" si="12"/>
        <v/>
      </c>
      <c r="AI35" s="97" t="str">
        <f t="shared" si="12"/>
        <v/>
      </c>
      <c r="AJ35" s="97" t="str">
        <f t="shared" si="12"/>
        <v/>
      </c>
      <c r="AK35" s="97" t="str">
        <f t="shared" si="12"/>
        <v/>
      </c>
      <c r="AL35" s="97" t="str">
        <f t="shared" si="12"/>
        <v/>
      </c>
      <c r="AM35" s="97" t="str">
        <f t="shared" si="12"/>
        <v/>
      </c>
      <c r="AN35" s="97" t="str">
        <f t="shared" si="12"/>
        <v/>
      </c>
      <c r="AO35" s="97" t="str">
        <f t="shared" si="12"/>
        <v/>
      </c>
      <c r="AP35" s="97" t="str">
        <f t="shared" si="12"/>
        <v/>
      </c>
      <c r="AQ35" s="97" t="str">
        <f t="shared" si="13"/>
        <v/>
      </c>
      <c r="AR35" s="97" t="str">
        <f t="shared" si="13"/>
        <v/>
      </c>
      <c r="AS35" s="97" t="str">
        <f t="shared" si="13"/>
        <v/>
      </c>
      <c r="AT35" s="97" t="str">
        <f t="shared" si="13"/>
        <v/>
      </c>
      <c r="AU35" s="97" t="str">
        <f t="shared" si="13"/>
        <v/>
      </c>
      <c r="AV35" s="97" t="str">
        <f t="shared" si="13"/>
        <v/>
      </c>
      <c r="AW35" s="97" t="str">
        <f t="shared" si="13"/>
        <v/>
      </c>
      <c r="AX35" s="97" t="str">
        <f t="shared" si="13"/>
        <v/>
      </c>
      <c r="AY35" s="97" t="str">
        <f t="shared" si="13"/>
        <v/>
      </c>
    </row>
    <row r="36" spans="1:51" ht="26" customHeight="1" x14ac:dyDescent="0.2">
      <c r="A36" s="70" t="s">
        <v>194</v>
      </c>
      <c r="B36" s="70" t="s">
        <v>224</v>
      </c>
      <c r="C36" s="71" t="s">
        <v>225</v>
      </c>
      <c r="D36" s="72"/>
      <c r="E36" s="102" t="s">
        <v>226</v>
      </c>
      <c r="F36" s="114" t="s">
        <v>371</v>
      </c>
      <c r="G36" s="111" t="s">
        <v>160</v>
      </c>
      <c r="H36" s="83">
        <v>4</v>
      </c>
      <c r="I36" s="92" t="str">
        <f t="shared" si="9"/>
        <v/>
      </c>
      <c r="J36" s="93"/>
      <c r="K36" s="93"/>
      <c r="L36" s="96"/>
      <c r="M36" s="97" t="str">
        <f t="shared" ref="M36:V42" si="14">_xlfn.LET(_xlpm.gs,$J36,_xlpm.hs,$K36,_xlpm.fs,$I36,_xlpm.ms,$D36,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N36" s="97" t="str">
        <f t="shared" si="14"/>
        <v/>
      </c>
      <c r="O36" s="97" t="str">
        <f t="shared" si="14"/>
        <v/>
      </c>
      <c r="P36" s="97" t="str">
        <f t="shared" si="14"/>
        <v/>
      </c>
      <c r="Q36" s="97" t="str">
        <f t="shared" si="14"/>
        <v/>
      </c>
      <c r="R36" s="97" t="str">
        <f t="shared" si="14"/>
        <v/>
      </c>
      <c r="S36" s="97" t="str">
        <f t="shared" si="14"/>
        <v/>
      </c>
      <c r="T36" s="97" t="str">
        <f t="shared" si="14"/>
        <v/>
      </c>
      <c r="U36" s="97" t="str">
        <f t="shared" si="14"/>
        <v/>
      </c>
      <c r="V36" s="97" t="str">
        <f t="shared" si="14"/>
        <v/>
      </c>
      <c r="W36" s="97" t="str">
        <f t="shared" ref="W36:AF42" si="15">_xlfn.LET(_xlpm.gs,$J36,_xlpm.hs,$K36,_xlpm.fs,$I36,_xlpm.ms,$D36,_xlpm.ws,W$5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X36" s="98" t="str">
        <f t="shared" si="15"/>
        <v/>
      </c>
      <c r="Y36" s="97" t="str">
        <f t="shared" si="15"/>
        <v/>
      </c>
      <c r="Z36" s="97" t="str">
        <f t="shared" si="15"/>
        <v/>
      </c>
      <c r="AA36" s="97" t="str">
        <f t="shared" si="15"/>
        <v/>
      </c>
      <c r="AB36" s="97" t="str">
        <f t="shared" si="15"/>
        <v/>
      </c>
      <c r="AC36" s="97" t="str">
        <f t="shared" si="15"/>
        <v/>
      </c>
      <c r="AD36" s="97" t="str">
        <f t="shared" si="15"/>
        <v/>
      </c>
      <c r="AE36" s="97" t="str">
        <f t="shared" si="15"/>
        <v/>
      </c>
      <c r="AF36" s="97" t="str">
        <f t="shared" si="15"/>
        <v/>
      </c>
      <c r="AG36" s="97" t="str">
        <f t="shared" ref="AG36:AP42" si="16">_xlfn.LET(_xlpm.gs,$J36,_xlpm.hs,$K36,_xlpm.fs,$I36,_xlpm.ms,$D36,_xlpm.ws,AG$5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H36" s="97" t="str">
        <f t="shared" si="16"/>
        <v/>
      </c>
      <c r="AI36" s="97" t="str">
        <f t="shared" si="16"/>
        <v/>
      </c>
      <c r="AJ36" s="97" t="str">
        <f t="shared" si="16"/>
        <v/>
      </c>
      <c r="AK36" s="97" t="str">
        <f t="shared" si="16"/>
        <v/>
      </c>
      <c r="AL36" s="97" t="str">
        <f t="shared" si="16"/>
        <v/>
      </c>
      <c r="AM36" s="97" t="str">
        <f t="shared" si="16"/>
        <v/>
      </c>
      <c r="AN36" s="97" t="str">
        <f t="shared" si="16"/>
        <v/>
      </c>
      <c r="AO36" s="97" t="str">
        <f t="shared" si="16"/>
        <v/>
      </c>
      <c r="AP36" s="97" t="str">
        <f t="shared" si="16"/>
        <v/>
      </c>
      <c r="AQ36" s="97" t="str">
        <f t="shared" ref="AQ36:AY42" si="17">_xlfn.LET(_xlpm.gs,$J36,_xlpm.hs,$K36,_xlpm.fs,$I36,_xlpm.ms,$D36,_xlpm.ws,AQ$5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R36" s="97" t="str">
        <f t="shared" si="17"/>
        <v/>
      </c>
      <c r="AS36" s="97" t="str">
        <f t="shared" si="17"/>
        <v/>
      </c>
      <c r="AT36" s="97" t="str">
        <f t="shared" si="17"/>
        <v/>
      </c>
      <c r="AU36" s="97" t="str">
        <f t="shared" si="17"/>
        <v/>
      </c>
      <c r="AV36" s="97" t="str">
        <f t="shared" si="17"/>
        <v/>
      </c>
      <c r="AW36" s="97" t="str">
        <f t="shared" si="17"/>
        <v/>
      </c>
      <c r="AX36" s="97" t="str">
        <f t="shared" si="17"/>
        <v/>
      </c>
      <c r="AY36" s="97" t="str">
        <f t="shared" si="17"/>
        <v/>
      </c>
    </row>
    <row r="37" spans="1:51" ht="26" customHeight="1" x14ac:dyDescent="0.2">
      <c r="A37" s="70" t="s">
        <v>194</v>
      </c>
      <c r="B37" s="70" t="s">
        <v>227</v>
      </c>
      <c r="C37" s="71" t="s">
        <v>228</v>
      </c>
      <c r="D37" s="72"/>
      <c r="E37" s="102" t="s">
        <v>229</v>
      </c>
      <c r="F37" s="114" t="s">
        <v>371</v>
      </c>
      <c r="G37" s="109" t="s">
        <v>135</v>
      </c>
      <c r="H37" s="83">
        <v>4</v>
      </c>
      <c r="I37" s="92" t="str">
        <f t="shared" si="9"/>
        <v/>
      </c>
      <c r="J37" s="93"/>
      <c r="K37" s="93"/>
      <c r="L37" s="96"/>
      <c r="M37" s="97" t="str">
        <f t="shared" si="14"/>
        <v/>
      </c>
      <c r="N37" s="97" t="str">
        <f t="shared" si="14"/>
        <v/>
      </c>
      <c r="O37" s="97" t="str">
        <f t="shared" si="14"/>
        <v/>
      </c>
      <c r="P37" s="97" t="str">
        <f t="shared" si="14"/>
        <v/>
      </c>
      <c r="Q37" s="97" t="str">
        <f t="shared" si="14"/>
        <v/>
      </c>
      <c r="R37" s="97" t="str">
        <f t="shared" si="14"/>
        <v/>
      </c>
      <c r="S37" s="97" t="str">
        <f t="shared" si="14"/>
        <v/>
      </c>
      <c r="T37" s="97" t="str">
        <f t="shared" si="14"/>
        <v/>
      </c>
      <c r="U37" s="97" t="str">
        <f t="shared" si="14"/>
        <v/>
      </c>
      <c r="V37" s="97" t="str">
        <f t="shared" si="14"/>
        <v/>
      </c>
      <c r="W37" s="97" t="str">
        <f t="shared" si="15"/>
        <v/>
      </c>
      <c r="X37" s="97" t="str">
        <f t="shared" si="15"/>
        <v/>
      </c>
      <c r="Y37" s="97" t="str">
        <f t="shared" si="15"/>
        <v/>
      </c>
      <c r="Z37" s="98" t="str">
        <f t="shared" si="15"/>
        <v/>
      </c>
      <c r="AA37" s="97" t="str">
        <f t="shared" si="15"/>
        <v/>
      </c>
      <c r="AB37" s="97" t="str">
        <f t="shared" si="15"/>
        <v/>
      </c>
      <c r="AC37" s="97" t="str">
        <f t="shared" si="15"/>
        <v/>
      </c>
      <c r="AD37" s="97" t="str">
        <f t="shared" si="15"/>
        <v/>
      </c>
      <c r="AE37" s="97" t="str">
        <f t="shared" si="15"/>
        <v/>
      </c>
      <c r="AF37" s="97" t="str">
        <f t="shared" si="15"/>
        <v/>
      </c>
      <c r="AG37" s="97" t="str">
        <f t="shared" si="16"/>
        <v/>
      </c>
      <c r="AH37" s="97" t="str">
        <f t="shared" si="16"/>
        <v/>
      </c>
      <c r="AI37" s="97" t="str">
        <f t="shared" si="16"/>
        <v/>
      </c>
      <c r="AJ37" s="97" t="str">
        <f t="shared" si="16"/>
        <v/>
      </c>
      <c r="AK37" s="97" t="str">
        <f t="shared" si="16"/>
        <v/>
      </c>
      <c r="AL37" s="97" t="str">
        <f t="shared" si="16"/>
        <v/>
      </c>
      <c r="AM37" s="97" t="str">
        <f t="shared" si="16"/>
        <v/>
      </c>
      <c r="AN37" s="97" t="str">
        <f t="shared" si="16"/>
        <v/>
      </c>
      <c r="AO37" s="97" t="str">
        <f t="shared" si="16"/>
        <v/>
      </c>
      <c r="AP37" s="97" t="str">
        <f t="shared" si="16"/>
        <v/>
      </c>
      <c r="AQ37" s="97" t="str">
        <f t="shared" si="17"/>
        <v/>
      </c>
      <c r="AR37" s="97" t="str">
        <f t="shared" si="17"/>
        <v/>
      </c>
      <c r="AS37" s="97" t="str">
        <f t="shared" si="17"/>
        <v/>
      </c>
      <c r="AT37" s="97" t="str">
        <f t="shared" si="17"/>
        <v/>
      </c>
      <c r="AU37" s="97" t="str">
        <f t="shared" si="17"/>
        <v/>
      </c>
      <c r="AV37" s="97" t="str">
        <f t="shared" si="17"/>
        <v/>
      </c>
      <c r="AW37" s="97" t="str">
        <f t="shared" si="17"/>
        <v/>
      </c>
      <c r="AX37" s="97" t="str">
        <f t="shared" si="17"/>
        <v/>
      </c>
      <c r="AY37" s="97" t="str">
        <f t="shared" si="17"/>
        <v/>
      </c>
    </row>
    <row r="38" spans="1:51" ht="26" customHeight="1" x14ac:dyDescent="0.2">
      <c r="A38" s="70" t="s">
        <v>194</v>
      </c>
      <c r="B38" s="70" t="s">
        <v>230</v>
      </c>
      <c r="C38" s="71" t="s">
        <v>231</v>
      </c>
      <c r="D38" s="72"/>
      <c r="E38" s="102" t="s">
        <v>232</v>
      </c>
      <c r="F38" s="114" t="s">
        <v>371</v>
      </c>
      <c r="G38" s="109" t="s">
        <v>135</v>
      </c>
      <c r="H38" s="83">
        <v>4</v>
      </c>
      <c r="I38" s="92" t="str">
        <f t="shared" si="9"/>
        <v/>
      </c>
      <c r="J38" s="93"/>
      <c r="K38" s="93"/>
      <c r="L38" s="96"/>
      <c r="M38" s="97" t="str">
        <f t="shared" si="14"/>
        <v/>
      </c>
      <c r="N38" s="97" t="str">
        <f t="shared" si="14"/>
        <v/>
      </c>
      <c r="O38" s="97" t="str">
        <f t="shared" si="14"/>
        <v/>
      </c>
      <c r="P38" s="97" t="str">
        <f t="shared" si="14"/>
        <v/>
      </c>
      <c r="Q38" s="97" t="str">
        <f t="shared" si="14"/>
        <v/>
      </c>
      <c r="R38" s="97" t="str">
        <f t="shared" si="14"/>
        <v/>
      </c>
      <c r="S38" s="97" t="str">
        <f t="shared" si="14"/>
        <v/>
      </c>
      <c r="T38" s="97" t="str">
        <f t="shared" si="14"/>
        <v/>
      </c>
      <c r="U38" s="97" t="str">
        <f t="shared" si="14"/>
        <v/>
      </c>
      <c r="V38" s="97" t="str">
        <f t="shared" si="14"/>
        <v/>
      </c>
      <c r="W38" s="97" t="str">
        <f t="shared" si="15"/>
        <v/>
      </c>
      <c r="X38" s="97" t="str">
        <f t="shared" si="15"/>
        <v/>
      </c>
      <c r="Y38" s="97" t="str">
        <f t="shared" si="15"/>
        <v/>
      </c>
      <c r="Z38" s="98" t="str">
        <f t="shared" si="15"/>
        <v/>
      </c>
      <c r="AA38" s="97" t="str">
        <f t="shared" si="15"/>
        <v/>
      </c>
      <c r="AB38" s="97" t="str">
        <f t="shared" si="15"/>
        <v/>
      </c>
      <c r="AC38" s="97" t="str">
        <f t="shared" si="15"/>
        <v/>
      </c>
      <c r="AD38" s="97" t="str">
        <f t="shared" si="15"/>
        <v/>
      </c>
      <c r="AE38" s="97" t="str">
        <f t="shared" si="15"/>
        <v/>
      </c>
      <c r="AF38" s="97" t="str">
        <f t="shared" si="15"/>
        <v/>
      </c>
      <c r="AG38" s="97" t="str">
        <f t="shared" si="16"/>
        <v/>
      </c>
      <c r="AH38" s="97" t="str">
        <f t="shared" si="16"/>
        <v/>
      </c>
      <c r="AI38" s="97" t="str">
        <f t="shared" si="16"/>
        <v/>
      </c>
      <c r="AJ38" s="97" t="str">
        <f t="shared" si="16"/>
        <v/>
      </c>
      <c r="AK38" s="97" t="str">
        <f t="shared" si="16"/>
        <v/>
      </c>
      <c r="AL38" s="97" t="str">
        <f t="shared" si="16"/>
        <v/>
      </c>
      <c r="AM38" s="97" t="str">
        <f t="shared" si="16"/>
        <v/>
      </c>
      <c r="AN38" s="97" t="str">
        <f t="shared" si="16"/>
        <v/>
      </c>
      <c r="AO38" s="97" t="str">
        <f t="shared" si="16"/>
        <v/>
      </c>
      <c r="AP38" s="97" t="str">
        <f t="shared" si="16"/>
        <v/>
      </c>
      <c r="AQ38" s="97" t="str">
        <f t="shared" si="17"/>
        <v/>
      </c>
      <c r="AR38" s="97" t="str">
        <f t="shared" si="17"/>
        <v/>
      </c>
      <c r="AS38" s="97" t="str">
        <f t="shared" si="17"/>
        <v/>
      </c>
      <c r="AT38" s="97" t="str">
        <f t="shared" si="17"/>
        <v/>
      </c>
      <c r="AU38" s="97" t="str">
        <f t="shared" si="17"/>
        <v/>
      </c>
      <c r="AV38" s="97" t="str">
        <f t="shared" si="17"/>
        <v/>
      </c>
      <c r="AW38" s="97" t="str">
        <f t="shared" si="17"/>
        <v/>
      </c>
      <c r="AX38" s="97" t="str">
        <f t="shared" si="17"/>
        <v/>
      </c>
      <c r="AY38" s="97" t="str">
        <f t="shared" si="17"/>
        <v/>
      </c>
    </row>
    <row r="39" spans="1:51" ht="26" customHeight="1" x14ac:dyDescent="0.2">
      <c r="A39" s="70" t="s">
        <v>194</v>
      </c>
      <c r="B39" s="70" t="s">
        <v>233</v>
      </c>
      <c r="C39" s="71" t="s">
        <v>234</v>
      </c>
      <c r="D39" s="72"/>
      <c r="E39" s="102" t="s">
        <v>235</v>
      </c>
      <c r="F39" s="114" t="s">
        <v>371</v>
      </c>
      <c r="G39" s="109" t="s">
        <v>135</v>
      </c>
      <c r="H39" s="84">
        <v>5</v>
      </c>
      <c r="I39" s="92" t="str">
        <f t="shared" si="9"/>
        <v/>
      </c>
      <c r="J39" s="93"/>
      <c r="K39" s="93"/>
      <c r="L39" s="96"/>
      <c r="M39" s="97" t="str">
        <f t="shared" si="14"/>
        <v/>
      </c>
      <c r="N39" s="97" t="str">
        <f t="shared" si="14"/>
        <v/>
      </c>
      <c r="O39" s="97" t="str">
        <f t="shared" si="14"/>
        <v/>
      </c>
      <c r="P39" s="97" t="str">
        <f t="shared" si="14"/>
        <v/>
      </c>
      <c r="Q39" s="97" t="str">
        <f t="shared" si="14"/>
        <v/>
      </c>
      <c r="R39" s="97" t="str">
        <f t="shared" si="14"/>
        <v/>
      </c>
      <c r="S39" s="97" t="str">
        <f t="shared" si="14"/>
        <v/>
      </c>
      <c r="T39" s="97" t="str">
        <f t="shared" si="14"/>
        <v/>
      </c>
      <c r="U39" s="97" t="str">
        <f t="shared" si="14"/>
        <v/>
      </c>
      <c r="V39" s="97" t="str">
        <f t="shared" si="14"/>
        <v/>
      </c>
      <c r="W39" s="97" t="str">
        <f t="shared" si="15"/>
        <v/>
      </c>
      <c r="X39" s="97" t="str">
        <f t="shared" si="15"/>
        <v/>
      </c>
      <c r="Y39" s="97" t="str">
        <f t="shared" si="15"/>
        <v/>
      </c>
      <c r="Z39" s="97" t="str">
        <f t="shared" si="15"/>
        <v/>
      </c>
      <c r="AA39" s="97" t="str">
        <f t="shared" si="15"/>
        <v/>
      </c>
      <c r="AB39" s="98" t="str">
        <f t="shared" si="15"/>
        <v/>
      </c>
      <c r="AC39" s="97" t="str">
        <f t="shared" si="15"/>
        <v/>
      </c>
      <c r="AD39" s="97" t="str">
        <f t="shared" si="15"/>
        <v/>
      </c>
      <c r="AE39" s="97" t="str">
        <f t="shared" si="15"/>
        <v/>
      </c>
      <c r="AF39" s="97" t="str">
        <f t="shared" si="15"/>
        <v/>
      </c>
      <c r="AG39" s="97" t="str">
        <f t="shared" si="16"/>
        <v/>
      </c>
      <c r="AH39" s="97" t="str">
        <f t="shared" si="16"/>
        <v/>
      </c>
      <c r="AI39" s="97" t="str">
        <f t="shared" si="16"/>
        <v/>
      </c>
      <c r="AJ39" s="97" t="str">
        <f t="shared" si="16"/>
        <v/>
      </c>
      <c r="AK39" s="97" t="str">
        <f t="shared" si="16"/>
        <v/>
      </c>
      <c r="AL39" s="97" t="str">
        <f t="shared" si="16"/>
        <v/>
      </c>
      <c r="AM39" s="97" t="str">
        <f t="shared" si="16"/>
        <v/>
      </c>
      <c r="AN39" s="97" t="str">
        <f t="shared" si="16"/>
        <v/>
      </c>
      <c r="AO39" s="97" t="str">
        <f t="shared" si="16"/>
        <v/>
      </c>
      <c r="AP39" s="97" t="str">
        <f t="shared" si="16"/>
        <v/>
      </c>
      <c r="AQ39" s="97" t="str">
        <f t="shared" si="17"/>
        <v/>
      </c>
      <c r="AR39" s="97" t="str">
        <f t="shared" si="17"/>
        <v/>
      </c>
      <c r="AS39" s="97" t="str">
        <f t="shared" si="17"/>
        <v/>
      </c>
      <c r="AT39" s="97" t="str">
        <f t="shared" si="17"/>
        <v/>
      </c>
      <c r="AU39" s="97" t="str">
        <f t="shared" si="17"/>
        <v/>
      </c>
      <c r="AV39" s="97" t="str">
        <f t="shared" si="17"/>
        <v/>
      </c>
      <c r="AW39" s="97" t="str">
        <f t="shared" si="17"/>
        <v/>
      </c>
      <c r="AX39" s="97" t="str">
        <f t="shared" si="17"/>
        <v/>
      </c>
      <c r="AY39" s="97" t="str">
        <f t="shared" si="17"/>
        <v/>
      </c>
    </row>
    <row r="40" spans="1:51" ht="26" customHeight="1" x14ac:dyDescent="0.2">
      <c r="A40" s="70" t="s">
        <v>194</v>
      </c>
      <c r="B40" s="70" t="s">
        <v>233</v>
      </c>
      <c r="C40" s="71" t="s">
        <v>236</v>
      </c>
      <c r="D40" s="72"/>
      <c r="E40" s="72"/>
      <c r="F40" s="112"/>
      <c r="G40" s="100" t="s">
        <v>160</v>
      </c>
      <c r="H40" s="84">
        <v>5</v>
      </c>
      <c r="I40" s="92" t="str">
        <f t="shared" si="9"/>
        <v/>
      </c>
      <c r="J40" s="93"/>
      <c r="K40" s="93"/>
      <c r="L40" s="96"/>
      <c r="M40" s="97" t="str">
        <f t="shared" si="14"/>
        <v/>
      </c>
      <c r="N40" s="97" t="str">
        <f t="shared" si="14"/>
        <v/>
      </c>
      <c r="O40" s="97" t="str">
        <f t="shared" si="14"/>
        <v/>
      </c>
      <c r="P40" s="97" t="str">
        <f t="shared" si="14"/>
        <v/>
      </c>
      <c r="Q40" s="97" t="str">
        <f t="shared" si="14"/>
        <v/>
      </c>
      <c r="R40" s="97" t="str">
        <f t="shared" si="14"/>
        <v/>
      </c>
      <c r="S40" s="97" t="str">
        <f t="shared" si="14"/>
        <v/>
      </c>
      <c r="T40" s="97" t="str">
        <f t="shared" si="14"/>
        <v/>
      </c>
      <c r="U40" s="97" t="str">
        <f t="shared" si="14"/>
        <v/>
      </c>
      <c r="V40" s="97" t="str">
        <f t="shared" si="14"/>
        <v/>
      </c>
      <c r="W40" s="97" t="str">
        <f t="shared" si="15"/>
        <v/>
      </c>
      <c r="X40" s="97" t="str">
        <f t="shared" si="15"/>
        <v/>
      </c>
      <c r="Y40" s="97" t="str">
        <f t="shared" si="15"/>
        <v/>
      </c>
      <c r="Z40" s="97" t="str">
        <f t="shared" si="15"/>
        <v/>
      </c>
      <c r="AA40" s="97" t="str">
        <f t="shared" si="15"/>
        <v/>
      </c>
      <c r="AB40" s="98" t="str">
        <f t="shared" si="15"/>
        <v/>
      </c>
      <c r="AC40" s="97" t="str">
        <f t="shared" si="15"/>
        <v/>
      </c>
      <c r="AD40" s="97" t="str">
        <f t="shared" si="15"/>
        <v/>
      </c>
      <c r="AE40" s="97" t="str">
        <f t="shared" si="15"/>
        <v/>
      </c>
      <c r="AF40" s="97" t="str">
        <f t="shared" si="15"/>
        <v/>
      </c>
      <c r="AG40" s="97" t="str">
        <f t="shared" si="16"/>
        <v/>
      </c>
      <c r="AH40" s="97" t="str">
        <f t="shared" si="16"/>
        <v/>
      </c>
      <c r="AI40" s="97" t="str">
        <f t="shared" si="16"/>
        <v/>
      </c>
      <c r="AJ40" s="97" t="str">
        <f t="shared" si="16"/>
        <v/>
      </c>
      <c r="AK40" s="97" t="str">
        <f t="shared" si="16"/>
        <v/>
      </c>
      <c r="AL40" s="97" t="str">
        <f t="shared" si="16"/>
        <v/>
      </c>
      <c r="AM40" s="97" t="str">
        <f t="shared" si="16"/>
        <v/>
      </c>
      <c r="AN40" s="97" t="str">
        <f t="shared" si="16"/>
        <v/>
      </c>
      <c r="AO40" s="97" t="str">
        <f t="shared" si="16"/>
        <v/>
      </c>
      <c r="AP40" s="97" t="str">
        <f t="shared" si="16"/>
        <v/>
      </c>
      <c r="AQ40" s="97" t="str">
        <f t="shared" si="17"/>
        <v/>
      </c>
      <c r="AR40" s="97" t="str">
        <f t="shared" si="17"/>
        <v/>
      </c>
      <c r="AS40" s="97" t="str">
        <f t="shared" si="17"/>
        <v/>
      </c>
      <c r="AT40" s="97" t="str">
        <f t="shared" si="17"/>
        <v/>
      </c>
      <c r="AU40" s="97" t="str">
        <f t="shared" si="17"/>
        <v/>
      </c>
      <c r="AV40" s="97" t="str">
        <f t="shared" si="17"/>
        <v/>
      </c>
      <c r="AW40" s="97" t="str">
        <f t="shared" si="17"/>
        <v/>
      </c>
      <c r="AX40" s="97" t="str">
        <f t="shared" si="17"/>
        <v/>
      </c>
      <c r="AY40" s="97" t="str">
        <f t="shared" si="17"/>
        <v/>
      </c>
    </row>
    <row r="41" spans="1:51" ht="26" customHeight="1" x14ac:dyDescent="0.2">
      <c r="A41" s="70" t="s">
        <v>194</v>
      </c>
      <c r="B41" s="70" t="s">
        <v>237</v>
      </c>
      <c r="C41" s="71" t="s">
        <v>238</v>
      </c>
      <c r="D41" s="72"/>
      <c r="E41" s="72"/>
      <c r="F41" s="112"/>
      <c r="G41" s="100" t="s">
        <v>160</v>
      </c>
      <c r="H41" s="85">
        <v>6</v>
      </c>
      <c r="I41" s="92" t="str">
        <f t="shared" si="9"/>
        <v/>
      </c>
      <c r="J41" s="93"/>
      <c r="K41" s="93"/>
      <c r="L41" s="96" t="s">
        <v>239</v>
      </c>
      <c r="M41" s="97" t="str">
        <f t="shared" si="14"/>
        <v/>
      </c>
      <c r="N41" s="97" t="str">
        <f t="shared" si="14"/>
        <v/>
      </c>
      <c r="O41" s="97" t="str">
        <f t="shared" si="14"/>
        <v/>
      </c>
      <c r="P41" s="97" t="str">
        <f t="shared" si="14"/>
        <v/>
      </c>
      <c r="Q41" s="97" t="str">
        <f t="shared" si="14"/>
        <v/>
      </c>
      <c r="R41" s="97" t="str">
        <f t="shared" si="14"/>
        <v/>
      </c>
      <c r="S41" s="97" t="str">
        <f t="shared" si="14"/>
        <v/>
      </c>
      <c r="T41" s="97" t="str">
        <f t="shared" si="14"/>
        <v/>
      </c>
      <c r="U41" s="97" t="str">
        <f t="shared" si="14"/>
        <v/>
      </c>
      <c r="V41" s="97" t="str">
        <f t="shared" si="14"/>
        <v/>
      </c>
      <c r="W41" s="97" t="str">
        <f t="shared" si="15"/>
        <v/>
      </c>
      <c r="X41" s="97" t="str">
        <f t="shared" si="15"/>
        <v/>
      </c>
      <c r="Y41" s="97" t="str">
        <f t="shared" si="15"/>
        <v/>
      </c>
      <c r="Z41" s="97" t="str">
        <f t="shared" si="15"/>
        <v/>
      </c>
      <c r="AA41" s="97" t="str">
        <f t="shared" si="15"/>
        <v/>
      </c>
      <c r="AB41" s="97" t="str">
        <f t="shared" si="15"/>
        <v/>
      </c>
      <c r="AC41" s="97" t="str">
        <f t="shared" si="15"/>
        <v/>
      </c>
      <c r="AD41" s="97" t="str">
        <f t="shared" si="15"/>
        <v/>
      </c>
      <c r="AE41" s="97" t="str">
        <f t="shared" si="15"/>
        <v/>
      </c>
      <c r="AF41" s="97" t="str">
        <f t="shared" si="15"/>
        <v/>
      </c>
      <c r="AG41" s="97" t="str">
        <f t="shared" si="16"/>
        <v/>
      </c>
      <c r="AH41" s="97" t="str">
        <f t="shared" si="16"/>
        <v/>
      </c>
      <c r="AI41" s="97" t="str">
        <f t="shared" si="16"/>
        <v/>
      </c>
      <c r="AJ41" s="97" t="str">
        <f t="shared" si="16"/>
        <v/>
      </c>
      <c r="AK41" s="97" t="str">
        <f t="shared" si="16"/>
        <v/>
      </c>
      <c r="AL41" s="97" t="str">
        <f t="shared" si="16"/>
        <v/>
      </c>
      <c r="AM41" s="97" t="str">
        <f t="shared" si="16"/>
        <v/>
      </c>
      <c r="AN41" s="97" t="str">
        <f t="shared" si="16"/>
        <v/>
      </c>
      <c r="AO41" s="97" t="str">
        <f t="shared" si="16"/>
        <v/>
      </c>
      <c r="AP41" s="97" t="str">
        <f t="shared" si="16"/>
        <v/>
      </c>
      <c r="AQ41" s="97" t="str">
        <f t="shared" si="17"/>
        <v/>
      </c>
      <c r="AR41" s="97" t="str">
        <f t="shared" si="17"/>
        <v/>
      </c>
      <c r="AS41" s="97" t="str">
        <f t="shared" si="17"/>
        <v/>
      </c>
      <c r="AT41" s="97" t="str">
        <f t="shared" si="17"/>
        <v/>
      </c>
      <c r="AU41" s="97" t="str">
        <f t="shared" si="17"/>
        <v/>
      </c>
      <c r="AV41" s="97" t="str">
        <f t="shared" si="17"/>
        <v/>
      </c>
      <c r="AW41" s="97" t="str">
        <f t="shared" si="17"/>
        <v/>
      </c>
      <c r="AX41" s="97" t="str">
        <f t="shared" si="17"/>
        <v/>
      </c>
      <c r="AY41" s="97" t="str">
        <f t="shared" si="17"/>
        <v/>
      </c>
    </row>
    <row r="42" spans="1:51" ht="26" customHeight="1" x14ac:dyDescent="0.2">
      <c r="A42" s="70" t="s">
        <v>194</v>
      </c>
      <c r="B42" s="70" t="s">
        <v>237</v>
      </c>
      <c r="C42" s="71" t="s">
        <v>240</v>
      </c>
      <c r="D42" s="72"/>
      <c r="E42" s="72"/>
      <c r="F42" s="112"/>
      <c r="G42" s="100" t="s">
        <v>160</v>
      </c>
      <c r="H42" s="85">
        <v>6</v>
      </c>
      <c r="I42" s="92" t="str">
        <f t="shared" si="9"/>
        <v/>
      </c>
      <c r="J42" s="93"/>
      <c r="K42" s="93"/>
      <c r="L42" s="96" t="s">
        <v>239</v>
      </c>
      <c r="M42" s="97" t="str">
        <f t="shared" si="14"/>
        <v/>
      </c>
      <c r="N42" s="97" t="str">
        <f t="shared" si="14"/>
        <v/>
      </c>
      <c r="O42" s="97" t="str">
        <f t="shared" si="14"/>
        <v/>
      </c>
      <c r="P42" s="97" t="str">
        <f t="shared" si="14"/>
        <v/>
      </c>
      <c r="Q42" s="97" t="str">
        <f t="shared" si="14"/>
        <v/>
      </c>
      <c r="R42" s="97" t="str">
        <f t="shared" si="14"/>
        <v/>
      </c>
      <c r="S42" s="97" t="str">
        <f t="shared" si="14"/>
        <v/>
      </c>
      <c r="T42" s="97" t="str">
        <f t="shared" si="14"/>
        <v/>
      </c>
      <c r="U42" s="97" t="str">
        <f t="shared" si="14"/>
        <v/>
      </c>
      <c r="V42" s="97" t="str">
        <f t="shared" si="14"/>
        <v/>
      </c>
      <c r="W42" s="97" t="str">
        <f t="shared" si="15"/>
        <v/>
      </c>
      <c r="X42" s="97" t="str">
        <f t="shared" si="15"/>
        <v/>
      </c>
      <c r="Y42" s="97" t="str">
        <f t="shared" si="15"/>
        <v/>
      </c>
      <c r="Z42" s="97" t="str">
        <f t="shared" si="15"/>
        <v/>
      </c>
      <c r="AA42" s="97" t="str">
        <f t="shared" si="15"/>
        <v/>
      </c>
      <c r="AB42" s="97" t="str">
        <f t="shared" si="15"/>
        <v/>
      </c>
      <c r="AC42" s="97" t="str">
        <f t="shared" si="15"/>
        <v/>
      </c>
      <c r="AD42" s="97" t="str">
        <f t="shared" si="15"/>
        <v/>
      </c>
      <c r="AE42" s="97" t="str">
        <f t="shared" si="15"/>
        <v/>
      </c>
      <c r="AF42" s="97" t="str">
        <f t="shared" si="15"/>
        <v/>
      </c>
      <c r="AG42" s="97" t="str">
        <f t="shared" si="16"/>
        <v/>
      </c>
      <c r="AH42" s="97" t="str">
        <f t="shared" si="16"/>
        <v/>
      </c>
      <c r="AI42" s="97" t="str">
        <f t="shared" si="16"/>
        <v/>
      </c>
      <c r="AJ42" s="97" t="str">
        <f t="shared" si="16"/>
        <v/>
      </c>
      <c r="AK42" s="97" t="str">
        <f t="shared" si="16"/>
        <v/>
      </c>
      <c r="AL42" s="97" t="str">
        <f t="shared" si="16"/>
        <v/>
      </c>
      <c r="AM42" s="97" t="str">
        <f t="shared" si="16"/>
        <v/>
      </c>
      <c r="AN42" s="97" t="str">
        <f t="shared" si="16"/>
        <v/>
      </c>
      <c r="AO42" s="97" t="str">
        <f t="shared" si="16"/>
        <v/>
      </c>
      <c r="AP42" s="97" t="str">
        <f t="shared" si="16"/>
        <v/>
      </c>
      <c r="AQ42" s="97" t="str">
        <f t="shared" si="17"/>
        <v/>
      </c>
      <c r="AR42" s="97" t="str">
        <f t="shared" si="17"/>
        <v/>
      </c>
      <c r="AS42" s="97" t="str">
        <f t="shared" si="17"/>
        <v/>
      </c>
      <c r="AT42" s="97" t="str">
        <f t="shared" si="17"/>
        <v/>
      </c>
      <c r="AU42" s="97" t="str">
        <f t="shared" si="17"/>
        <v/>
      </c>
      <c r="AV42" s="97" t="str">
        <f t="shared" si="17"/>
        <v/>
      </c>
      <c r="AW42" s="97" t="str">
        <f t="shared" si="17"/>
        <v/>
      </c>
      <c r="AX42" s="97" t="str">
        <f t="shared" si="17"/>
        <v/>
      </c>
      <c r="AY42" s="97" t="str">
        <f t="shared" si="17"/>
        <v/>
      </c>
    </row>
    <row r="43" spans="1:51" ht="26" customHeight="1" x14ac:dyDescent="0.2">
      <c r="A43" s="70" t="s">
        <v>241</v>
      </c>
      <c r="B43" s="70" t="s">
        <v>237</v>
      </c>
      <c r="C43" s="71" t="s">
        <v>242</v>
      </c>
      <c r="D43" s="72"/>
      <c r="E43" s="102" t="s">
        <v>243</v>
      </c>
      <c r="F43" s="114" t="s">
        <v>377</v>
      </c>
      <c r="G43" s="111" t="s">
        <v>160</v>
      </c>
      <c r="H43" s="85"/>
      <c r="I43" s="92">
        <f t="shared" si="9"/>
        <v>1</v>
      </c>
      <c r="J43" s="93">
        <v>46244</v>
      </c>
      <c r="K43" s="93">
        <v>46248</v>
      </c>
      <c r="L43" s="96"/>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row>
    <row r="44" spans="1:51" ht="26" customHeight="1" x14ac:dyDescent="0.2">
      <c r="A44" s="70" t="s">
        <v>241</v>
      </c>
      <c r="B44" s="70" t="s">
        <v>237</v>
      </c>
      <c r="C44" s="71" t="s">
        <v>244</v>
      </c>
      <c r="D44" s="72"/>
      <c r="E44" s="102" t="s">
        <v>245</v>
      </c>
      <c r="F44" s="114" t="s">
        <v>371</v>
      </c>
      <c r="G44" s="111" t="s">
        <v>160</v>
      </c>
      <c r="H44" s="85"/>
      <c r="I44" s="92">
        <f t="shared" si="9"/>
        <v>1</v>
      </c>
      <c r="J44" s="93">
        <v>46258</v>
      </c>
      <c r="K44" s="93">
        <v>46264</v>
      </c>
      <c r="L44" s="96"/>
      <c r="M44" s="97" t="str">
        <f t="shared" ref="M44:V49" si="18">_xlfn.LET(_xlpm.gs,$J44,_xlpm.hs,$K44,_xlpm.fs,$I44,_xlpm.ms,$D44,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N44" s="97" t="str">
        <f t="shared" si="18"/>
        <v/>
      </c>
      <c r="O44" s="97" t="str">
        <f t="shared" si="18"/>
        <v/>
      </c>
      <c r="P44" s="97" t="str">
        <f t="shared" si="18"/>
        <v/>
      </c>
      <c r="Q44" s="97" t="str">
        <f t="shared" si="18"/>
        <v/>
      </c>
      <c r="R44" s="97" t="str">
        <f t="shared" si="18"/>
        <v/>
      </c>
      <c r="S44" s="97" t="str">
        <f t="shared" si="18"/>
        <v/>
      </c>
      <c r="T44" s="97" t="str">
        <f t="shared" si="18"/>
        <v/>
      </c>
      <c r="U44" s="97" t="str">
        <f t="shared" si="18"/>
        <v/>
      </c>
      <c r="V44" s="97" t="str">
        <f t="shared" si="18"/>
        <v/>
      </c>
      <c r="W44" s="97" t="str">
        <f t="shared" ref="W44:AF49" si="19">_xlfn.LET(_xlpm.gs,$J44,_xlpm.hs,$K44,_xlpm.fs,$I44,_xlpm.ms,$D44,_xlpm.ws,W$5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X44" s="97" t="str">
        <f t="shared" si="19"/>
        <v/>
      </c>
      <c r="Y44" s="97">
        <f t="shared" si="19"/>
        <v>1</v>
      </c>
      <c r="Z44" s="97" t="str">
        <f t="shared" si="19"/>
        <v/>
      </c>
      <c r="AA44" s="97" t="str">
        <f t="shared" si="19"/>
        <v/>
      </c>
      <c r="AB44" s="97" t="str">
        <f t="shared" si="19"/>
        <v/>
      </c>
      <c r="AC44" s="97" t="str">
        <f t="shared" si="19"/>
        <v/>
      </c>
      <c r="AD44" s="97" t="str">
        <f t="shared" si="19"/>
        <v/>
      </c>
      <c r="AE44" s="97" t="str">
        <f t="shared" si="19"/>
        <v/>
      </c>
      <c r="AF44" s="97" t="str">
        <f t="shared" si="19"/>
        <v/>
      </c>
      <c r="AG44" s="97" t="str">
        <f t="shared" ref="AG44:AP49" si="20">_xlfn.LET(_xlpm.gs,$J44,_xlpm.hs,$K44,_xlpm.fs,$I44,_xlpm.ms,$D44,_xlpm.ws,AG$5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H44" s="97" t="str">
        <f t="shared" si="20"/>
        <v/>
      </c>
      <c r="AI44" s="97" t="str">
        <f t="shared" si="20"/>
        <v/>
      </c>
      <c r="AJ44" s="97" t="str">
        <f t="shared" si="20"/>
        <v/>
      </c>
      <c r="AK44" s="97" t="str">
        <f t="shared" si="20"/>
        <v/>
      </c>
      <c r="AL44" s="97" t="str">
        <f t="shared" si="20"/>
        <v/>
      </c>
      <c r="AM44" s="97" t="str">
        <f t="shared" si="20"/>
        <v/>
      </c>
      <c r="AN44" s="97" t="str">
        <f t="shared" si="20"/>
        <v/>
      </c>
      <c r="AO44" s="97" t="str">
        <f t="shared" si="20"/>
        <v/>
      </c>
      <c r="AP44" s="97" t="str">
        <f t="shared" si="20"/>
        <v/>
      </c>
      <c r="AQ44" s="97" t="str">
        <f t="shared" ref="AQ44:AY49" si="21">_xlfn.LET(_xlpm.gs,$J44,_xlpm.hs,$K44,_xlpm.fs,$I44,_xlpm.ms,$D44,_xlpm.ws,AQ$5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AR44" s="97" t="str">
        <f t="shared" si="21"/>
        <v/>
      </c>
      <c r="AS44" s="97" t="str">
        <f t="shared" si="21"/>
        <v/>
      </c>
      <c r="AT44" s="97" t="str">
        <f t="shared" si="21"/>
        <v/>
      </c>
      <c r="AU44" s="97" t="str">
        <f t="shared" si="21"/>
        <v/>
      </c>
      <c r="AV44" s="97" t="str">
        <f t="shared" si="21"/>
        <v/>
      </c>
      <c r="AW44" s="97" t="str">
        <f t="shared" si="21"/>
        <v/>
      </c>
      <c r="AX44" s="97" t="str">
        <f t="shared" si="21"/>
        <v/>
      </c>
      <c r="AY44" s="97" t="str">
        <f t="shared" si="21"/>
        <v/>
      </c>
    </row>
    <row r="45" spans="1:51" ht="26" customHeight="1" x14ac:dyDescent="0.2">
      <c r="A45" s="70" t="s">
        <v>241</v>
      </c>
      <c r="B45" s="70" t="s">
        <v>237</v>
      </c>
      <c r="C45" s="71" t="s">
        <v>246</v>
      </c>
      <c r="D45" s="72"/>
      <c r="E45" s="102" t="s">
        <v>247</v>
      </c>
      <c r="F45" s="114" t="s">
        <v>371</v>
      </c>
      <c r="G45" s="111" t="s">
        <v>160</v>
      </c>
      <c r="H45" s="85"/>
      <c r="I45" s="92">
        <f t="shared" si="9"/>
        <v>1</v>
      </c>
      <c r="J45" s="93">
        <v>46265</v>
      </c>
      <c r="K45" s="93">
        <v>46271</v>
      </c>
      <c r="L45" s="96"/>
      <c r="M45" s="97" t="str">
        <f t="shared" si="18"/>
        <v/>
      </c>
      <c r="N45" s="97" t="str">
        <f t="shared" si="18"/>
        <v/>
      </c>
      <c r="O45" s="97" t="str">
        <f t="shared" si="18"/>
        <v/>
      </c>
      <c r="P45" s="97" t="str">
        <f t="shared" si="18"/>
        <v/>
      </c>
      <c r="Q45" s="97" t="str">
        <f t="shared" si="18"/>
        <v/>
      </c>
      <c r="R45" s="97" t="str">
        <f t="shared" si="18"/>
        <v/>
      </c>
      <c r="S45" s="97" t="str">
        <f t="shared" si="18"/>
        <v/>
      </c>
      <c r="T45" s="97" t="str">
        <f t="shared" si="18"/>
        <v/>
      </c>
      <c r="U45" s="97" t="str">
        <f t="shared" si="18"/>
        <v/>
      </c>
      <c r="V45" s="97" t="str">
        <f t="shared" si="18"/>
        <v/>
      </c>
      <c r="W45" s="97" t="str">
        <f t="shared" si="19"/>
        <v/>
      </c>
      <c r="X45" s="97" t="str">
        <f t="shared" si="19"/>
        <v/>
      </c>
      <c r="Y45" s="97" t="str">
        <f t="shared" si="19"/>
        <v/>
      </c>
      <c r="Z45" s="97">
        <f t="shared" si="19"/>
        <v>1</v>
      </c>
      <c r="AA45" s="97" t="str">
        <f t="shared" si="19"/>
        <v/>
      </c>
      <c r="AB45" s="97" t="str">
        <f t="shared" si="19"/>
        <v/>
      </c>
      <c r="AC45" s="97" t="str">
        <f t="shared" si="19"/>
        <v/>
      </c>
      <c r="AD45" s="97" t="str">
        <f t="shared" si="19"/>
        <v/>
      </c>
      <c r="AE45" s="97" t="str">
        <f t="shared" si="19"/>
        <v/>
      </c>
      <c r="AF45" s="97" t="str">
        <f t="shared" si="19"/>
        <v/>
      </c>
      <c r="AG45" s="97" t="str">
        <f t="shared" si="20"/>
        <v/>
      </c>
      <c r="AH45" s="97" t="str">
        <f t="shared" si="20"/>
        <v/>
      </c>
      <c r="AI45" s="97" t="str">
        <f t="shared" si="20"/>
        <v/>
      </c>
      <c r="AJ45" s="97" t="str">
        <f t="shared" si="20"/>
        <v/>
      </c>
      <c r="AK45" s="97" t="str">
        <f t="shared" si="20"/>
        <v/>
      </c>
      <c r="AL45" s="97" t="str">
        <f t="shared" si="20"/>
        <v/>
      </c>
      <c r="AM45" s="97" t="str">
        <f t="shared" si="20"/>
        <v/>
      </c>
      <c r="AN45" s="97" t="str">
        <f t="shared" si="20"/>
        <v/>
      </c>
      <c r="AO45" s="97" t="str">
        <f t="shared" si="20"/>
        <v/>
      </c>
      <c r="AP45" s="97" t="str">
        <f t="shared" si="20"/>
        <v/>
      </c>
      <c r="AQ45" s="97" t="str">
        <f t="shared" si="21"/>
        <v/>
      </c>
      <c r="AR45" s="97" t="str">
        <f t="shared" si="21"/>
        <v/>
      </c>
      <c r="AS45" s="97" t="str">
        <f t="shared" si="21"/>
        <v/>
      </c>
      <c r="AT45" s="97" t="str">
        <f t="shared" si="21"/>
        <v/>
      </c>
      <c r="AU45" s="97" t="str">
        <f t="shared" si="21"/>
        <v/>
      </c>
      <c r="AV45" s="97" t="str">
        <f t="shared" si="21"/>
        <v/>
      </c>
      <c r="AW45" s="97" t="str">
        <f t="shared" si="21"/>
        <v/>
      </c>
      <c r="AX45" s="97" t="str">
        <f t="shared" si="21"/>
        <v/>
      </c>
      <c r="AY45" s="97" t="str">
        <f t="shared" si="21"/>
        <v/>
      </c>
    </row>
    <row r="46" spans="1:51" ht="26" customHeight="1" x14ac:dyDescent="0.2">
      <c r="A46" s="70" t="s">
        <v>241</v>
      </c>
      <c r="B46" s="70" t="s">
        <v>237</v>
      </c>
      <c r="C46" s="71" t="s">
        <v>248</v>
      </c>
      <c r="D46" s="72"/>
      <c r="E46" s="102" t="s">
        <v>249</v>
      </c>
      <c r="F46" s="114" t="s">
        <v>377</v>
      </c>
      <c r="G46" s="109" t="s">
        <v>135</v>
      </c>
      <c r="H46" s="85"/>
      <c r="I46" s="92" t="str">
        <f t="shared" si="9"/>
        <v/>
      </c>
      <c r="J46" s="93"/>
      <c r="K46" s="93"/>
      <c r="L46" s="96"/>
      <c r="M46" s="97" t="str">
        <f t="shared" si="18"/>
        <v/>
      </c>
      <c r="N46" s="97" t="str">
        <f t="shared" si="18"/>
        <v/>
      </c>
      <c r="O46" s="97" t="str">
        <f t="shared" si="18"/>
        <v/>
      </c>
      <c r="P46" s="97" t="str">
        <f t="shared" si="18"/>
        <v/>
      </c>
      <c r="Q46" s="97" t="str">
        <f t="shared" si="18"/>
        <v/>
      </c>
      <c r="R46" s="97" t="str">
        <f t="shared" si="18"/>
        <v/>
      </c>
      <c r="S46" s="97" t="str">
        <f t="shared" si="18"/>
        <v/>
      </c>
      <c r="T46" s="97" t="str">
        <f t="shared" si="18"/>
        <v/>
      </c>
      <c r="U46" s="97" t="str">
        <f t="shared" si="18"/>
        <v/>
      </c>
      <c r="V46" s="97" t="str">
        <f t="shared" si="18"/>
        <v/>
      </c>
      <c r="W46" s="97" t="str">
        <f t="shared" si="19"/>
        <v/>
      </c>
      <c r="X46" s="97" t="str">
        <f t="shared" si="19"/>
        <v/>
      </c>
      <c r="Y46" s="97" t="str">
        <f t="shared" si="19"/>
        <v/>
      </c>
      <c r="Z46" s="97" t="str">
        <f t="shared" si="19"/>
        <v/>
      </c>
      <c r="AA46" s="97" t="str">
        <f t="shared" si="19"/>
        <v/>
      </c>
      <c r="AB46" s="97" t="str">
        <f t="shared" si="19"/>
        <v/>
      </c>
      <c r="AC46" s="97" t="str">
        <f t="shared" si="19"/>
        <v/>
      </c>
      <c r="AD46" s="97" t="str">
        <f t="shared" si="19"/>
        <v/>
      </c>
      <c r="AE46" s="97" t="str">
        <f t="shared" si="19"/>
        <v/>
      </c>
      <c r="AF46" s="97" t="str">
        <f t="shared" si="19"/>
        <v/>
      </c>
      <c r="AG46" s="97" t="str">
        <f t="shared" si="20"/>
        <v/>
      </c>
      <c r="AH46" s="97" t="str">
        <f t="shared" si="20"/>
        <v/>
      </c>
      <c r="AI46" s="97" t="str">
        <f t="shared" si="20"/>
        <v/>
      </c>
      <c r="AJ46" s="97" t="str">
        <f t="shared" si="20"/>
        <v/>
      </c>
      <c r="AK46" s="97" t="str">
        <f t="shared" si="20"/>
        <v/>
      </c>
      <c r="AL46" s="97" t="str">
        <f t="shared" si="20"/>
        <v/>
      </c>
      <c r="AM46" s="97" t="str">
        <f t="shared" si="20"/>
        <v/>
      </c>
      <c r="AN46" s="97" t="str">
        <f t="shared" si="20"/>
        <v/>
      </c>
      <c r="AO46" s="97" t="str">
        <f t="shared" si="20"/>
        <v/>
      </c>
      <c r="AP46" s="97" t="str">
        <f t="shared" si="20"/>
        <v/>
      </c>
      <c r="AQ46" s="97" t="str">
        <f t="shared" si="21"/>
        <v/>
      </c>
      <c r="AR46" s="97" t="str">
        <f t="shared" si="21"/>
        <v/>
      </c>
      <c r="AS46" s="97" t="str">
        <f t="shared" si="21"/>
        <v/>
      </c>
      <c r="AT46" s="97" t="str">
        <f t="shared" si="21"/>
        <v/>
      </c>
      <c r="AU46" s="97" t="str">
        <f t="shared" si="21"/>
        <v/>
      </c>
      <c r="AV46" s="97" t="str">
        <f t="shared" si="21"/>
        <v/>
      </c>
      <c r="AW46" s="97" t="str">
        <f t="shared" si="21"/>
        <v/>
      </c>
      <c r="AX46" s="97" t="str">
        <f t="shared" si="21"/>
        <v/>
      </c>
      <c r="AY46" s="97" t="str">
        <f t="shared" si="21"/>
        <v/>
      </c>
    </row>
    <row r="47" spans="1:51" ht="26" customHeight="1" x14ac:dyDescent="0.2">
      <c r="A47" s="70" t="s">
        <v>194</v>
      </c>
      <c r="B47" s="70" t="s">
        <v>237</v>
      </c>
      <c r="C47" s="71" t="s">
        <v>250</v>
      </c>
      <c r="D47" s="72"/>
      <c r="E47" s="102" t="s">
        <v>251</v>
      </c>
      <c r="F47" s="114" t="s">
        <v>372</v>
      </c>
      <c r="G47" s="109" t="s">
        <v>135</v>
      </c>
      <c r="H47" s="85"/>
      <c r="I47" s="92">
        <f t="shared" si="9"/>
        <v>2</v>
      </c>
      <c r="J47" s="93">
        <v>46272</v>
      </c>
      <c r="K47" s="93">
        <v>46285</v>
      </c>
      <c r="L47" s="96"/>
      <c r="M47" s="97" t="str">
        <f t="shared" si="18"/>
        <v/>
      </c>
      <c r="N47" s="97" t="str">
        <f t="shared" si="18"/>
        <v/>
      </c>
      <c r="O47" s="97" t="str">
        <f t="shared" si="18"/>
        <v/>
      </c>
      <c r="P47" s="97" t="str">
        <f t="shared" si="18"/>
        <v/>
      </c>
      <c r="Q47" s="97" t="str">
        <f t="shared" si="18"/>
        <v/>
      </c>
      <c r="R47" s="97" t="str">
        <f t="shared" si="18"/>
        <v/>
      </c>
      <c r="S47" s="97" t="str">
        <f t="shared" si="18"/>
        <v/>
      </c>
      <c r="T47" s="97" t="str">
        <f t="shared" si="18"/>
        <v/>
      </c>
      <c r="U47" s="97" t="str">
        <f t="shared" si="18"/>
        <v/>
      </c>
      <c r="V47" s="97" t="str">
        <f t="shared" si="18"/>
        <v/>
      </c>
      <c r="W47" s="97" t="str">
        <f t="shared" si="19"/>
        <v/>
      </c>
      <c r="X47" s="97" t="str">
        <f t="shared" si="19"/>
        <v/>
      </c>
      <c r="Y47" s="97" t="str">
        <f t="shared" si="19"/>
        <v/>
      </c>
      <c r="Z47" s="97" t="str">
        <f t="shared" si="19"/>
        <v/>
      </c>
      <c r="AA47" s="97">
        <f t="shared" si="19"/>
        <v>2</v>
      </c>
      <c r="AB47" s="97" t="str">
        <f t="shared" si="19"/>
        <v/>
      </c>
      <c r="AC47" s="97" t="str">
        <f t="shared" si="19"/>
        <v/>
      </c>
      <c r="AD47" s="97" t="str">
        <f t="shared" si="19"/>
        <v/>
      </c>
      <c r="AE47" s="97" t="str">
        <f t="shared" si="19"/>
        <v/>
      </c>
      <c r="AF47" s="97" t="str">
        <f t="shared" si="19"/>
        <v/>
      </c>
      <c r="AG47" s="97" t="str">
        <f t="shared" si="20"/>
        <v/>
      </c>
      <c r="AH47" s="97" t="str">
        <f t="shared" si="20"/>
        <v/>
      </c>
      <c r="AI47" s="97" t="str">
        <f t="shared" si="20"/>
        <v/>
      </c>
      <c r="AJ47" s="97" t="str">
        <f t="shared" si="20"/>
        <v/>
      </c>
      <c r="AK47" s="97" t="str">
        <f t="shared" si="20"/>
        <v/>
      </c>
      <c r="AL47" s="97" t="str">
        <f t="shared" si="20"/>
        <v/>
      </c>
      <c r="AM47" s="97" t="str">
        <f t="shared" si="20"/>
        <v/>
      </c>
      <c r="AN47" s="97" t="str">
        <f t="shared" si="20"/>
        <v/>
      </c>
      <c r="AO47" s="97" t="str">
        <f t="shared" si="20"/>
        <v/>
      </c>
      <c r="AP47" s="97" t="str">
        <f t="shared" si="20"/>
        <v/>
      </c>
      <c r="AQ47" s="97" t="str">
        <f t="shared" si="21"/>
        <v/>
      </c>
      <c r="AR47" s="97" t="str">
        <f t="shared" si="21"/>
        <v/>
      </c>
      <c r="AS47" s="97" t="str">
        <f t="shared" si="21"/>
        <v/>
      </c>
      <c r="AT47" s="97" t="str">
        <f t="shared" si="21"/>
        <v/>
      </c>
      <c r="AU47" s="97" t="str">
        <f t="shared" si="21"/>
        <v/>
      </c>
      <c r="AV47" s="97" t="str">
        <f t="shared" si="21"/>
        <v/>
      </c>
      <c r="AW47" s="97" t="str">
        <f t="shared" si="21"/>
        <v/>
      </c>
      <c r="AX47" s="97" t="str">
        <f t="shared" si="21"/>
        <v/>
      </c>
      <c r="AY47" s="97" t="str">
        <f t="shared" si="21"/>
        <v/>
      </c>
    </row>
    <row r="48" spans="1:51" ht="26" customHeight="1" x14ac:dyDescent="0.2">
      <c r="A48" s="70" t="s">
        <v>194</v>
      </c>
      <c r="B48" s="70" t="s">
        <v>237</v>
      </c>
      <c r="C48" s="71" t="s">
        <v>252</v>
      </c>
      <c r="D48" s="72"/>
      <c r="E48" s="102" t="s">
        <v>253</v>
      </c>
      <c r="F48" s="114" t="s">
        <v>375</v>
      </c>
      <c r="G48" s="111" t="s">
        <v>160</v>
      </c>
      <c r="H48" s="85"/>
      <c r="I48" s="92" t="str">
        <f t="shared" si="9"/>
        <v/>
      </c>
      <c r="J48" s="93"/>
      <c r="K48" s="93"/>
      <c r="L48" s="96"/>
      <c r="M48" s="97" t="str">
        <f t="shared" si="18"/>
        <v/>
      </c>
      <c r="N48" s="97" t="str">
        <f t="shared" si="18"/>
        <v/>
      </c>
      <c r="O48" s="97" t="str">
        <f t="shared" si="18"/>
        <v/>
      </c>
      <c r="P48" s="97" t="str">
        <f t="shared" si="18"/>
        <v/>
      </c>
      <c r="Q48" s="97" t="str">
        <f t="shared" si="18"/>
        <v/>
      </c>
      <c r="R48" s="97" t="str">
        <f t="shared" si="18"/>
        <v/>
      </c>
      <c r="S48" s="97" t="str">
        <f t="shared" si="18"/>
        <v/>
      </c>
      <c r="T48" s="97" t="str">
        <f t="shared" si="18"/>
        <v/>
      </c>
      <c r="U48" s="97" t="str">
        <f t="shared" si="18"/>
        <v/>
      </c>
      <c r="V48" s="97" t="str">
        <f t="shared" si="18"/>
        <v/>
      </c>
      <c r="W48" s="97" t="str">
        <f t="shared" si="19"/>
        <v/>
      </c>
      <c r="X48" s="97" t="str">
        <f t="shared" si="19"/>
        <v/>
      </c>
      <c r="Y48" s="97" t="str">
        <f t="shared" si="19"/>
        <v/>
      </c>
      <c r="Z48" s="97" t="str">
        <f t="shared" si="19"/>
        <v/>
      </c>
      <c r="AA48" s="97" t="str">
        <f t="shared" si="19"/>
        <v/>
      </c>
      <c r="AB48" s="97" t="str">
        <f t="shared" si="19"/>
        <v/>
      </c>
      <c r="AC48" s="97" t="str">
        <f t="shared" si="19"/>
        <v/>
      </c>
      <c r="AD48" s="97" t="str">
        <f t="shared" si="19"/>
        <v/>
      </c>
      <c r="AE48" s="97" t="str">
        <f t="shared" si="19"/>
        <v/>
      </c>
      <c r="AF48" s="97" t="str">
        <f t="shared" si="19"/>
        <v/>
      </c>
      <c r="AG48" s="97" t="str">
        <f t="shared" si="20"/>
        <v/>
      </c>
      <c r="AH48" s="97" t="str">
        <f t="shared" si="20"/>
        <v/>
      </c>
      <c r="AI48" s="97" t="str">
        <f t="shared" si="20"/>
        <v/>
      </c>
      <c r="AJ48" s="97" t="str">
        <f t="shared" si="20"/>
        <v/>
      </c>
      <c r="AK48" s="97" t="str">
        <f t="shared" si="20"/>
        <v/>
      </c>
      <c r="AL48" s="97" t="str">
        <f t="shared" si="20"/>
        <v/>
      </c>
      <c r="AM48" s="97" t="str">
        <f t="shared" si="20"/>
        <v/>
      </c>
      <c r="AN48" s="97" t="str">
        <f t="shared" si="20"/>
        <v/>
      </c>
      <c r="AO48" s="97" t="str">
        <f t="shared" si="20"/>
        <v/>
      </c>
      <c r="AP48" s="97" t="str">
        <f t="shared" si="20"/>
        <v/>
      </c>
      <c r="AQ48" s="97" t="str">
        <f t="shared" si="21"/>
        <v/>
      </c>
      <c r="AR48" s="97" t="str">
        <f t="shared" si="21"/>
        <v/>
      </c>
      <c r="AS48" s="97" t="str">
        <f t="shared" si="21"/>
        <v/>
      </c>
      <c r="AT48" s="97" t="str">
        <f t="shared" si="21"/>
        <v/>
      </c>
      <c r="AU48" s="97" t="str">
        <f t="shared" si="21"/>
        <v/>
      </c>
      <c r="AV48" s="97" t="str">
        <f t="shared" si="21"/>
        <v/>
      </c>
      <c r="AW48" s="97" t="str">
        <f t="shared" si="21"/>
        <v/>
      </c>
      <c r="AX48" s="97" t="str">
        <f t="shared" si="21"/>
        <v/>
      </c>
      <c r="AY48" s="97" t="str">
        <f t="shared" si="21"/>
        <v/>
      </c>
    </row>
    <row r="49" spans="1:51" ht="26" customHeight="1" x14ac:dyDescent="0.2">
      <c r="A49" s="70" t="s">
        <v>194</v>
      </c>
      <c r="B49" s="70" t="s">
        <v>237</v>
      </c>
      <c r="C49" s="71" t="s">
        <v>254</v>
      </c>
      <c r="D49" s="72"/>
      <c r="E49" s="102" t="s">
        <v>255</v>
      </c>
      <c r="F49" s="114" t="s">
        <v>371</v>
      </c>
      <c r="G49" s="109" t="s">
        <v>135</v>
      </c>
      <c r="H49" s="85"/>
      <c r="I49" s="92" t="str">
        <f t="shared" si="9"/>
        <v/>
      </c>
      <c r="J49" s="93"/>
      <c r="K49" s="93"/>
      <c r="L49" s="96"/>
      <c r="M49" s="97" t="str">
        <f t="shared" si="18"/>
        <v/>
      </c>
      <c r="N49" s="97" t="str">
        <f t="shared" si="18"/>
        <v/>
      </c>
      <c r="O49" s="97" t="str">
        <f t="shared" si="18"/>
        <v/>
      </c>
      <c r="P49" s="97" t="str">
        <f t="shared" si="18"/>
        <v/>
      </c>
      <c r="Q49" s="97" t="str">
        <f t="shared" si="18"/>
        <v/>
      </c>
      <c r="R49" s="97" t="str">
        <f t="shared" si="18"/>
        <v/>
      </c>
      <c r="S49" s="97" t="str">
        <f t="shared" si="18"/>
        <v/>
      </c>
      <c r="T49" s="97" t="str">
        <f t="shared" si="18"/>
        <v/>
      </c>
      <c r="U49" s="97" t="str">
        <f t="shared" si="18"/>
        <v/>
      </c>
      <c r="V49" s="97" t="str">
        <f t="shared" si="18"/>
        <v/>
      </c>
      <c r="W49" s="97" t="str">
        <f t="shared" si="19"/>
        <v/>
      </c>
      <c r="X49" s="97" t="str">
        <f t="shared" si="19"/>
        <v/>
      </c>
      <c r="Y49" s="97" t="str">
        <f t="shared" si="19"/>
        <v/>
      </c>
      <c r="Z49" s="97" t="str">
        <f t="shared" si="19"/>
        <v/>
      </c>
      <c r="AA49" s="97" t="str">
        <f t="shared" si="19"/>
        <v/>
      </c>
      <c r="AB49" s="97" t="str">
        <f t="shared" si="19"/>
        <v/>
      </c>
      <c r="AC49" s="97" t="str">
        <f t="shared" si="19"/>
        <v/>
      </c>
      <c r="AD49" s="97" t="str">
        <f t="shared" si="19"/>
        <v/>
      </c>
      <c r="AE49" s="97" t="str">
        <f t="shared" si="19"/>
        <v/>
      </c>
      <c r="AF49" s="97" t="str">
        <f t="shared" si="19"/>
        <v/>
      </c>
      <c r="AG49" s="97" t="str">
        <f t="shared" si="20"/>
        <v/>
      </c>
      <c r="AH49" s="97" t="str">
        <f t="shared" si="20"/>
        <v/>
      </c>
      <c r="AI49" s="97" t="str">
        <f t="shared" si="20"/>
        <v/>
      </c>
      <c r="AJ49" s="97" t="str">
        <f t="shared" si="20"/>
        <v/>
      </c>
      <c r="AK49" s="97" t="str">
        <f t="shared" si="20"/>
        <v/>
      </c>
      <c r="AL49" s="97" t="str">
        <f t="shared" si="20"/>
        <v/>
      </c>
      <c r="AM49" s="97" t="str">
        <f t="shared" si="20"/>
        <v/>
      </c>
      <c r="AN49" s="97" t="str">
        <f t="shared" si="20"/>
        <v/>
      </c>
      <c r="AO49" s="97" t="str">
        <f t="shared" si="20"/>
        <v/>
      </c>
      <c r="AP49" s="97" t="str">
        <f t="shared" si="20"/>
        <v/>
      </c>
      <c r="AQ49" s="97" t="str">
        <f t="shared" si="21"/>
        <v/>
      </c>
      <c r="AR49" s="97" t="str">
        <f t="shared" si="21"/>
        <v/>
      </c>
      <c r="AS49" s="97" t="str">
        <f t="shared" si="21"/>
        <v/>
      </c>
      <c r="AT49" s="97" t="str">
        <f t="shared" si="21"/>
        <v/>
      </c>
      <c r="AU49" s="97" t="str">
        <f t="shared" si="21"/>
        <v/>
      </c>
      <c r="AV49" s="97" t="str">
        <f t="shared" si="21"/>
        <v/>
      </c>
      <c r="AW49" s="97" t="str">
        <f t="shared" si="21"/>
        <v/>
      </c>
      <c r="AX49" s="97" t="str">
        <f t="shared" si="21"/>
        <v/>
      </c>
      <c r="AY49" s="97" t="str">
        <f t="shared" si="21"/>
        <v/>
      </c>
    </row>
    <row r="50" spans="1:51" ht="26" customHeight="1" x14ac:dyDescent="0.2">
      <c r="A50" s="70" t="s">
        <v>241</v>
      </c>
      <c r="B50" s="70" t="s">
        <v>237</v>
      </c>
      <c r="C50" s="71" t="s">
        <v>256</v>
      </c>
      <c r="D50" s="72"/>
      <c r="E50" s="102"/>
      <c r="F50" s="102"/>
      <c r="G50" s="100" t="s">
        <v>160</v>
      </c>
      <c r="H50" s="85"/>
      <c r="I50" s="92"/>
      <c r="J50" s="93"/>
      <c r="K50" s="93"/>
      <c r="L50" s="96"/>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row>
    <row r="51" spans="1:51" ht="26" customHeight="1" x14ac:dyDescent="0.2">
      <c r="A51" s="70" t="s">
        <v>241</v>
      </c>
      <c r="B51" s="70" t="s">
        <v>237</v>
      </c>
      <c r="C51" s="71" t="s">
        <v>257</v>
      </c>
      <c r="D51" s="72"/>
      <c r="E51" s="102"/>
      <c r="F51" s="102"/>
      <c r="G51" s="100" t="s">
        <v>160</v>
      </c>
      <c r="H51" s="106"/>
      <c r="I51" s="107"/>
      <c r="J51" s="93"/>
      <c r="K51" s="93"/>
      <c r="L51" s="96"/>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row>
    <row r="52" spans="1:51" ht="26" customHeight="1" x14ac:dyDescent="0.2">
      <c r="A52" s="70" t="s">
        <v>194</v>
      </c>
      <c r="B52" s="70" t="s">
        <v>237</v>
      </c>
      <c r="C52" s="71" t="s">
        <v>258</v>
      </c>
      <c r="D52" s="72"/>
      <c r="E52" s="102" t="s">
        <v>259</v>
      </c>
      <c r="F52" s="102"/>
      <c r="G52" s="100" t="s">
        <v>160</v>
      </c>
      <c r="H52" s="85"/>
      <c r="I52" s="92" t="str">
        <f t="shared" si="9"/>
        <v/>
      </c>
      <c r="J52" s="93"/>
      <c r="K52" s="93"/>
      <c r="L52" s="96"/>
      <c r="M52" s="97" t="str">
        <f t="shared" ref="M52:AY52" si="22">_xlfn.LET(_xlpm.gs,$J52,_xlpm.hs,$K52,_xlpm.fs,$I52,_xlpm.ms,$D52,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_xlpm.prev,_xlpm.wk-7,_xlpm.active,AND(_xlpm.s&lt;&gt;"",_xlpm.e&lt;&gt;"",_xlpm.wk&lt;&gt;"",_xlpm.wk&lt;=_xlpm.e,_xlpm.wk+6&gt;=_xlpm.s),_xlpm.first,AND(_xlpm.active,NOT(AND(_xlpm.s&lt;&gt;"",_xlpm.e&lt;&gt;"",_xlpm.prev&lt;=_xlpm.e,_xlpm.prev+6&gt;=_xlpm.s))),_xlpm.label,IF(AND(_xlpm.ms&lt;&gt;"",_xlpm.ms&lt;&gt;"—"),_xlpm.ms,IF(_xlpm.eff&lt;&gt;"",_xlpm.eff,"")),IF(_xlpm.active,IF(_xlpm.first,_xlpm.label,""),""))</f>
        <v/>
      </c>
      <c r="N52" s="97" t="str">
        <f t="shared" si="22"/>
        <v/>
      </c>
      <c r="O52" s="97" t="str">
        <f t="shared" si="22"/>
        <v/>
      </c>
      <c r="P52" s="97" t="str">
        <f t="shared" si="22"/>
        <v/>
      </c>
      <c r="Q52" s="97" t="str">
        <f t="shared" si="22"/>
        <v/>
      </c>
      <c r="R52" s="97" t="str">
        <f t="shared" si="22"/>
        <v/>
      </c>
      <c r="S52" s="97" t="str">
        <f t="shared" si="22"/>
        <v/>
      </c>
      <c r="T52" s="97" t="str">
        <f t="shared" si="22"/>
        <v/>
      </c>
      <c r="U52" s="97" t="str">
        <f t="shared" si="22"/>
        <v/>
      </c>
      <c r="V52" s="97" t="str">
        <f t="shared" si="22"/>
        <v/>
      </c>
      <c r="W52" s="97" t="str">
        <f t="shared" si="22"/>
        <v/>
      </c>
      <c r="X52" s="97" t="str">
        <f t="shared" si="22"/>
        <v/>
      </c>
      <c r="Y52" s="97" t="str">
        <f t="shared" si="22"/>
        <v/>
      </c>
      <c r="Z52" s="97" t="str">
        <f t="shared" si="22"/>
        <v/>
      </c>
      <c r="AA52" s="97" t="str">
        <f t="shared" si="22"/>
        <v/>
      </c>
      <c r="AB52" s="97" t="str">
        <f t="shared" si="22"/>
        <v/>
      </c>
      <c r="AC52" s="97" t="str">
        <f t="shared" si="22"/>
        <v/>
      </c>
      <c r="AD52" s="97" t="str">
        <f t="shared" si="22"/>
        <v/>
      </c>
      <c r="AE52" s="97" t="str">
        <f t="shared" si="22"/>
        <v/>
      </c>
      <c r="AF52" s="97" t="str">
        <f t="shared" si="22"/>
        <v/>
      </c>
      <c r="AG52" s="97" t="str">
        <f t="shared" si="22"/>
        <v/>
      </c>
      <c r="AH52" s="97" t="str">
        <f t="shared" si="22"/>
        <v/>
      </c>
      <c r="AI52" s="97" t="str">
        <f t="shared" si="22"/>
        <v/>
      </c>
      <c r="AJ52" s="97" t="str">
        <f t="shared" si="22"/>
        <v/>
      </c>
      <c r="AK52" s="97" t="str">
        <f t="shared" si="22"/>
        <v/>
      </c>
      <c r="AL52" s="97" t="str">
        <f t="shared" si="22"/>
        <v/>
      </c>
      <c r="AM52" s="97" t="str">
        <f t="shared" si="22"/>
        <v/>
      </c>
      <c r="AN52" s="97" t="str">
        <f t="shared" si="22"/>
        <v/>
      </c>
      <c r="AO52" s="97" t="str">
        <f t="shared" si="22"/>
        <v/>
      </c>
      <c r="AP52" s="97" t="str">
        <f t="shared" si="22"/>
        <v/>
      </c>
      <c r="AQ52" s="97" t="str">
        <f t="shared" si="22"/>
        <v/>
      </c>
      <c r="AR52" s="97" t="str">
        <f t="shared" si="22"/>
        <v/>
      </c>
      <c r="AS52" s="97" t="str">
        <f t="shared" si="22"/>
        <v/>
      </c>
      <c r="AT52" s="97" t="str">
        <f t="shared" si="22"/>
        <v/>
      </c>
      <c r="AU52" s="97" t="str">
        <f t="shared" si="22"/>
        <v/>
      </c>
      <c r="AV52" s="97" t="str">
        <f t="shared" si="22"/>
        <v/>
      </c>
      <c r="AW52" s="97" t="str">
        <f t="shared" si="22"/>
        <v/>
      </c>
      <c r="AX52" s="97" t="str">
        <f t="shared" si="22"/>
        <v/>
      </c>
      <c r="AY52" s="97" t="str">
        <f t="shared" si="22"/>
        <v/>
      </c>
    </row>
    <row r="54" spans="1:51" x14ac:dyDescent="0.2">
      <c r="A54" s="86" t="s">
        <v>260</v>
      </c>
    </row>
    <row r="55" spans="1:51" x14ac:dyDescent="0.2">
      <c r="A55" s="73"/>
      <c r="B55" s="87" t="s">
        <v>131</v>
      </c>
      <c r="C55" s="74"/>
      <c r="D55" s="87" t="s">
        <v>150</v>
      </c>
      <c r="E55" s="87"/>
      <c r="F55" s="87"/>
      <c r="G55" s="87"/>
      <c r="H55" s="75"/>
      <c r="I55" s="87" t="s">
        <v>165</v>
      </c>
      <c r="J55" s="76"/>
      <c r="K55" s="87" t="s">
        <v>176</v>
      </c>
      <c r="L55" s="77"/>
      <c r="M55" s="87" t="s">
        <v>184</v>
      </c>
      <c r="N55" s="78"/>
      <c r="O55" s="87" t="s">
        <v>189</v>
      </c>
      <c r="P55" s="80"/>
      <c r="Q55" s="87" t="s">
        <v>194</v>
      </c>
    </row>
    <row r="56" spans="1:51" x14ac:dyDescent="0.2">
      <c r="A56" s="88" t="s">
        <v>261</v>
      </c>
    </row>
  </sheetData>
  <mergeCells count="14">
    <mergeCell ref="AR4:AU4"/>
    <mergeCell ref="AV4:AY4"/>
    <mergeCell ref="A6:AY6"/>
    <mergeCell ref="A25:AY25"/>
    <mergeCell ref="A1:AY1"/>
    <mergeCell ref="A2:AY2"/>
    <mergeCell ref="A4:L4"/>
    <mergeCell ref="M4:Q4"/>
    <mergeCell ref="R4:U4"/>
    <mergeCell ref="V4:Z4"/>
    <mergeCell ref="AA4:AD4"/>
    <mergeCell ref="AE4:AH4"/>
    <mergeCell ref="AI4:AM4"/>
    <mergeCell ref="AN4:AQ4"/>
  </mergeCells>
  <conditionalFormatting sqref="K7:K50">
    <cfRule type="expression" dxfId="14" priority="10">
      <formula>AND($G7&lt;&gt;"Complete",_xlfn.LET(_xlpm.hs,$K7,_xlpm.hd,IFERROR(DATEVALUE(_xlpm.hs),""),_xlpm.h,IF(ISNUMBER(_xlpm.hs),_xlpm.hs,IF(_xlpm.hd="","",DATE(2026+(MONTH(_xlpm.hd)&lt;6),MONTH(_xlpm.hd),DAY(_xlpm.hd)))),AND(_xlpm.h&lt;&gt;"",_xlpm.h&lt;TODAY())))</formula>
    </cfRule>
  </conditionalFormatting>
  <conditionalFormatting sqref="M7:AY52">
    <cfRule type="expression" dxfId="13" priority="11">
      <formula>AND($A7="IAC",_xlfn.LET(_xlpm.gs,$J7,_xlpm.hs,$K7,_xlpm.fs,$I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")-1),"")),_xlpm.e,IF(_xlpm.h&lt;&gt;"",_xlpm.h,IF(AND(_xlpm.s&lt;&gt;"",_xlpm.eff&lt;&gt;""),_xlpm.s+_xlpm.eff*7-1,"")),AND(_xlpm.s&lt;&gt;"",_xlpm.e&lt;&gt;"",_xlpm.wk&lt;&gt;"",_xlpm.wk&lt;=_xlpm.e,_xlpm.wk+6&gt;=_xlpm.s)))</formula>
    </cfRule>
    <cfRule type="expression" dxfId="12" priority="12">
      <formula>AND($A7="Metering",_xlfn.LET(_xlpm.gs,$J7,_xlpm.hs,$K7,_xlpm.fs,$I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")-1),"")),_xlpm.e,IF(_xlpm.h&lt;&gt;"",_xlpm.h,IF(AND(_xlpm.s&lt;&gt;"",_xlpm.eff&lt;&gt;""),_xlpm.s+_xlpm.eff*7-1,"")),AND(_xlpm.s&lt;&gt;"",_xlpm.e&lt;&gt;"",_xlpm.wk&lt;&gt;"",_xlpm.wk&lt;=_xlpm.e,_xlpm.wk+6&gt;=_xlpm.s)))</formula>
    </cfRule>
    <cfRule type="expression" dxfId="11" priority="13">
      <formula>AND($A7="Auditing",_xlfn.LET(_xlpm.gs,$J7,_xlpm.hs,$K7,_xlpm.fs,$I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")-1),"")),_xlpm.e,IF(_xlpm.h&lt;&gt;"",_xlpm.h,IF(AND(_xlpm.s&lt;&gt;"",_xlpm.eff&lt;&gt;""),_xlpm.s+_xlpm.eff*7-1,"")),AND(_xlpm.s&lt;&gt;"",_xlpm.e&lt;&gt;"",_xlpm.wk&lt;&gt;"",_xlpm.wk&lt;=_xlpm.e,_xlpm.wk+6&gt;=_xlpm.s)))</formula>
    </cfRule>
    <cfRule type="expression" dxfId="10" priority="14">
      <formula>AND($A7="Observability",_xlfn.LET(_xlpm.gs,$J7,_xlpm.hs,$K7,_xlpm.fs,$I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")-1),"")),_xlpm.e,IF(_xlpm.h&lt;&gt;"",_xlpm.h,IF(AND(_xlpm.s&lt;&gt;"",_xlpm.eff&lt;&gt;""),_xlpm.s+_xlpm.eff*7-1,"")),AND(_xlpm.s&lt;&gt;"",_xlpm.e&lt;&gt;"",_xlpm.wk&lt;&gt;"",_xlpm.wk&lt;=_xlpm.e,_xlpm.wk+6&gt;=_xlpm.s)))</formula>
    </cfRule>
    <cfRule type="expression" dxfId="9" priority="15">
      <formula>AND($A7="Maintenance",_xlfn.LET(_xlpm.gs,$J7,_xlpm.hs,$K7,_xlpm.fs,$I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")-1),"")),_xlpm.e,IF(_xlpm.h&lt;&gt;"",_xlpm.h,IF(AND(_xlpm.s&lt;&gt;"",_xlpm.eff&lt;&gt;""),_xlpm.s+_xlpm.eff*7-1,"")),AND(_xlpm.s&lt;&gt;"",_xlpm.e&lt;&gt;"",_xlpm.wk&lt;&gt;"",_xlpm.wk&lt;=_xlpm.e,_xlpm.wk+6&gt;=_xlpm.s)))</formula>
    </cfRule>
    <cfRule type="expression" dxfId="8" priority="16">
      <formula>AND($A7="M2 Feature",_xlfn.LET(_xlpm.gs,$J7,_xlpm.hs,$K7,_xlpm.fs,$I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")-1),"")),_xlpm.e,IF(_xlpm.h&lt;&gt;"",_xlpm.h,IF(AND(_xlpm.s&lt;&gt;"",_xlpm.eff&lt;&gt;""),_xlpm.s+_xlpm.eff*7-1,"")),AND(_xlpm.s&lt;&gt;"",_xlpm.e&lt;&gt;"",_xlpm.wk&lt;&gt;"",_xlpm.wk&lt;=_xlpm.e,_xlpm.wk+6&gt;=_xlpm.s)))</formula>
    </cfRule>
    <cfRule type="expression" dxfId="7" priority="17">
      <formula>AND($A7="M2 Maintenance",_xlfn.LET(_xlpm.gs,$J7,_xlpm.hs,$K7,_xlpm.fs,$I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")-1),"")),_xlpm.e,IF(_xlpm.h&lt;&gt;"",_xlpm.h,IF(AND(_xlpm.s&lt;&gt;"",_xlpm.eff&lt;&gt;""),_xlpm.s+_xlpm.eff*7-1,"")),AND(_xlpm.s&lt;&gt;"",_xlpm.e&lt;&gt;"",_xlpm.wk&lt;&gt;"",_xlpm.wk&lt;=_xlpm.e,_xlpm.wk+6&gt;=_xlpm.s)))</formula>
    </cfRule>
    <cfRule type="expression" dxfId="6" priority="18">
      <formula>AND($A7="Platform",_xlfn.LET(_xlpm.gs,$J7,_xlpm.hs,$K7,_xlpm.fs,$I7,_xlpm.ws,M$5,_xlpm.gd,IFERROR(DATEVALUE(_xlpm.gs),""),_xlpm.hd,IFERROR(DATEVALUE(_xlpm.hs),""),_xlpm.wd,IFERROR(DATEVALUE(_xlpm.ws),""),_xlpm.s,IF(ISNUMBER(_xlpm.gs),_xlpm.gs,IF(_xlpm.gd="","",DATE(2026+(MONTH(_xlpm.gd)&lt;6),MONTH(_xlpm.gd),DAY(_xlpm.gd)))),_xlpm.h,IF(ISNUMBER(_xlpm.hs),_xlpm.hs,IF(_xlpm.hd="","",DATE(2026+(MONTH(_xlpm.hd)&lt;6),MONTH(_xlpm.hd),DAY(_xlpm.hd)))),_xlpm.wk,IF(ISNUMBER(_xlpm.ws),_xlpm.ws,IF(_xlpm.wd="","",DATE(2026+(MONTH(_xlpm.wd)&lt;6),MONTH(_xlpm.wd),DAY(_xlpm.wd)))),_xlpm.eff,IF(ISNUMBER(_xlpm.fs),_xlpm.fs,IFERROR(--LEFT(_xlpm.fs,FIND(" ",_xlpm.fs&amp;" ")-1),"")),_xlpm.e,IF(_xlpm.h&lt;&gt;"",_xlpm.h,IF(AND(_xlpm.s&lt;&gt;"",_xlpm.eff&lt;&gt;""),_xlpm.s+_xlpm.eff*7-1,"")),AND(_xlpm.s&lt;&gt;"",_xlpm.e&lt;&gt;"",_xlpm.wk&lt;&gt;"",_xlpm.wk&lt;=_xlpm.e,_xlpm.wk+6&gt;=_xlpm.s)))</formula>
    </cfRule>
  </conditionalFormatting>
  <hyperlinks>
    <hyperlink ref="E7" r:id="rId1" xr:uid="{000D5C57-DED0-9A4B-9D38-CC0F4D1B2C56}"/>
    <hyperlink ref="E12" r:id="rId2" xr:uid="{8287BB35-ED24-7744-8CB6-78EE4A72F9BC}"/>
    <hyperlink ref="E8" r:id="rId3" xr:uid="{500A45AA-8B9E-904C-B0C1-DA4BA0370F61}"/>
    <hyperlink ref="E9" r:id="rId4" xr:uid="{828EA8BA-81DD-8B4E-AAC5-06D4AE9AB347}"/>
    <hyperlink ref="E15" r:id="rId5" xr:uid="{053AA970-4715-0D48-932A-007228406A28}"/>
    <hyperlink ref="E11" r:id="rId6" xr:uid="{E75589A8-845F-C14D-B2F3-22C90CEB0E42}"/>
    <hyperlink ref="E46" r:id="rId7" xr:uid="{D6DBA010-DCB3-F84C-96C5-53D5B4197503}"/>
    <hyperlink ref="E26" r:id="rId8" display="https://rackspace.atlassian.net/browse/RACKAI-311" xr:uid="{045C5DB7-20CB-465C-8582-57EA90C33341}"/>
    <hyperlink ref="E27" r:id="rId9" display="https://rackspace.atlassian.net/browse/RACKAI-263" xr:uid="{A2103E70-4D7F-45C3-8082-78B5961C6BEE}"/>
    <hyperlink ref="E28" r:id="rId10" xr:uid="{BF0039D4-E926-41F5-B0BE-DD5B383A23C4}"/>
    <hyperlink ref="E29" r:id="rId11" xr:uid="{69A47F02-C89F-4347-9BA7-37FB0880121C}"/>
    <hyperlink ref="E32" r:id="rId12" xr:uid="{2CA7CDEE-85F6-4C75-B1BA-9CBEA59F07DB}"/>
    <hyperlink ref="E33" r:id="rId13" xr:uid="{406E907A-5820-4CB1-8247-872C3E923184}"/>
    <hyperlink ref="E35" r:id="rId14" xr:uid="{5826106A-9D71-4A7A-A88E-5CA18924EAF9}"/>
    <hyperlink ref="E34" r:id="rId15" xr:uid="{87D84538-649F-44CF-AC33-524320BE572A}"/>
    <hyperlink ref="E43" r:id="rId16" xr:uid="{8CA5827D-4CCD-4A20-BED4-1D37A9000E9F}"/>
    <hyperlink ref="E44" r:id="rId17" xr:uid="{DFF6689C-AFF3-4981-93E3-8B0CFA26D877}"/>
    <hyperlink ref="E45" r:id="rId18" xr:uid="{DE2AD323-C5A8-40A6-8373-814C4DCD2C68}"/>
    <hyperlink ref="E36" r:id="rId19" xr:uid="{252FD233-0601-46A1-B222-E9DD4D3F219E}"/>
    <hyperlink ref="E47" r:id="rId20" xr:uid="{65A1AD17-5762-4ACE-AAE1-C8FDC87557A4}"/>
    <hyperlink ref="E30" r:id="rId21" xr:uid="{1DDA0E15-30B6-4857-A4AB-255514BF684E}"/>
    <hyperlink ref="E31" r:id="rId22" xr:uid="{266EA9C9-64DB-4F81-A682-B892919F16B4}"/>
    <hyperlink ref="E37" r:id="rId23" xr:uid="{8346C4FD-5CA6-4E98-B78A-90CD976D44F7}"/>
    <hyperlink ref="E39" r:id="rId24" xr:uid="{BE945099-7658-4950-8E7F-F2C3F5046AB6}"/>
    <hyperlink ref="E48" r:id="rId25" xr:uid="{F45508BB-5BFA-4A81-8383-E7A1C45C228A}"/>
    <hyperlink ref="E38" r:id="rId26" xr:uid="{B07046C5-CC33-4E44-BB34-005B21A77155}"/>
    <hyperlink ref="E49" r:id="rId27" xr:uid="{3903921F-767C-47C2-BB7A-CFBB95B37AE5}"/>
    <hyperlink ref="E52" r:id="rId28" xr:uid="{4D4C5E1F-841D-42F2-9D82-9720459F4E8B}"/>
    <hyperlink ref="E13" r:id="rId29" display="https://rackspace.atlassian.net/browse/RACKAI-431" xr:uid="{45BD5252-949A-2343-9444-75FCD8E3BF1E}"/>
    <hyperlink ref="E14" r:id="rId30" display="https://rackspace.atlassian.net/browse/RACKAI-432" xr:uid="{626411D3-D7FB-D846-B08D-87ECBA9BD023}"/>
  </hyperlinks>
  <pageMargins left="0.75" right="0.75" top="1" bottom="1" header="0.511811023622047" footer="0.511811023622047"/>
  <pageSetup paperSize="9" orientation="portrait" horizontalDpi="300" verticalDpi="300"/>
  <legacyDrawing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5CB7B-7896-4C86-B992-8F72759429AF}">
  <dimension ref="A1:X54"/>
  <sheetViews>
    <sheetView topLeftCell="A7" workbookViewId="0">
      <selection activeCell="C19" sqref="C19"/>
    </sheetView>
  </sheetViews>
  <sheetFormatPr baseColWidth="10" defaultColWidth="8.83203125" defaultRowHeight="13" x14ac:dyDescent="0.15"/>
  <cols>
    <col min="1" max="1" width="35.83203125" customWidth="1"/>
    <col min="2" max="2" width="40.83203125" customWidth="1"/>
    <col min="3" max="3" width="13.83203125" customWidth="1"/>
    <col min="4" max="4" width="7.6640625" bestFit="1" customWidth="1"/>
    <col min="5" max="5" width="9.83203125" hidden="1" customWidth="1"/>
    <col min="6" max="8" width="9.1640625" hidden="1" customWidth="1"/>
    <col min="9" max="9" width="21.6640625" customWidth="1"/>
    <col min="10" max="11" width="22.5" customWidth="1"/>
    <col min="12" max="12" width="2.6640625" customWidth="1"/>
    <col min="23" max="23" width="16.5" customWidth="1"/>
    <col min="24" max="24" width="27.83203125" customWidth="1"/>
  </cols>
  <sheetData>
    <row r="1" spans="1:24" ht="24" customHeight="1" x14ac:dyDescent="0.15"/>
    <row r="2" spans="1:24" x14ac:dyDescent="0.15">
      <c r="M2" s="37" t="s">
        <v>262</v>
      </c>
      <c r="N2" s="37" t="s">
        <v>263</v>
      </c>
      <c r="O2" s="37" t="s">
        <v>263</v>
      </c>
      <c r="P2" s="37" t="s">
        <v>264</v>
      </c>
      <c r="Q2" s="37" t="s">
        <v>264</v>
      </c>
      <c r="R2" s="37" t="s">
        <v>265</v>
      </c>
      <c r="S2" s="37" t="s">
        <v>265</v>
      </c>
      <c r="T2" s="37" t="s">
        <v>266</v>
      </c>
    </row>
    <row r="3" spans="1:24" ht="28" x14ac:dyDescent="0.15">
      <c r="A3" s="60" t="s">
        <v>0</v>
      </c>
      <c r="B3" s="61" t="s">
        <v>1</v>
      </c>
      <c r="C3" s="61" t="s">
        <v>267</v>
      </c>
      <c r="D3" s="61" t="s">
        <v>3</v>
      </c>
      <c r="E3" s="61" t="s">
        <v>4</v>
      </c>
      <c r="F3" s="61" t="s">
        <v>5</v>
      </c>
      <c r="G3" s="61" t="s">
        <v>6</v>
      </c>
      <c r="H3" s="61" t="s">
        <v>7</v>
      </c>
      <c r="I3" s="61" t="s">
        <v>268</v>
      </c>
      <c r="J3" s="61" t="s">
        <v>269</v>
      </c>
      <c r="K3" s="103" t="s">
        <v>85</v>
      </c>
      <c r="M3" s="62" t="s">
        <v>270</v>
      </c>
      <c r="N3" s="62" t="s">
        <v>271</v>
      </c>
      <c r="O3" s="62" t="s">
        <v>272</v>
      </c>
      <c r="P3" s="62" t="s">
        <v>273</v>
      </c>
      <c r="Q3" s="62" t="s">
        <v>274</v>
      </c>
      <c r="R3" s="62" t="s">
        <v>275</v>
      </c>
      <c r="S3" s="62" t="s">
        <v>276</v>
      </c>
      <c r="T3" s="62" t="s">
        <v>277</v>
      </c>
      <c r="U3" s="62"/>
      <c r="V3" s="62"/>
      <c r="W3" s="62" t="s">
        <v>278</v>
      </c>
      <c r="X3" s="37" t="s">
        <v>268</v>
      </c>
    </row>
    <row r="4" spans="1:24" s="63" customFormat="1" ht="28" x14ac:dyDescent="0.15">
      <c r="A4" s="89" t="s">
        <v>196</v>
      </c>
      <c r="C4" s="63">
        <v>4</v>
      </c>
      <c r="D4" s="63">
        <v>1</v>
      </c>
      <c r="K4" s="104" t="s">
        <v>279</v>
      </c>
      <c r="M4" s="63">
        <v>2</v>
      </c>
      <c r="N4" s="63">
        <v>2</v>
      </c>
      <c r="W4" s="63">
        <f>IF(SUMIF(M4:V4, "&lt;&gt;", M4:V4)=0, "", SUMIF(M4:V4, "&lt;&gt;", M4:V4))</f>
        <v>4</v>
      </c>
    </row>
    <row r="5" spans="1:24" x14ac:dyDescent="0.15">
      <c r="A5" s="37"/>
      <c r="B5" t="s">
        <v>280</v>
      </c>
      <c r="W5" t="str">
        <f t="shared" ref="W5:W12" si="0">IF(SUMIF(M5:V5, "&lt;&gt;", M5:V5)=0, "", SUMIF(M5:V5, "&lt;&gt;", M5:V5))</f>
        <v/>
      </c>
    </row>
    <row r="6" spans="1:24" x14ac:dyDescent="0.15">
      <c r="A6" s="37"/>
      <c r="B6" t="s">
        <v>281</v>
      </c>
      <c r="W6" t="str">
        <f t="shared" si="0"/>
        <v/>
      </c>
    </row>
    <row r="7" spans="1:24" x14ac:dyDescent="0.15">
      <c r="A7" s="37"/>
      <c r="B7" t="s">
        <v>282</v>
      </c>
      <c r="W7" t="str">
        <f t="shared" si="0"/>
        <v/>
      </c>
    </row>
    <row r="8" spans="1:24" s="63" customFormat="1" ht="28" x14ac:dyDescent="0.15">
      <c r="A8" s="89" t="s">
        <v>216</v>
      </c>
      <c r="C8" s="63">
        <v>8</v>
      </c>
      <c r="D8" s="63">
        <v>2</v>
      </c>
      <c r="K8" s="104" t="s">
        <v>283</v>
      </c>
      <c r="N8" s="63">
        <v>2</v>
      </c>
      <c r="O8" s="63">
        <v>2</v>
      </c>
      <c r="P8" s="63">
        <v>2</v>
      </c>
      <c r="Q8" s="63">
        <v>2</v>
      </c>
      <c r="W8" s="63">
        <f>IF(SUMIF(M8:V8, "&lt;&gt;", M8:V8)=0, "", SUMIF(M8:V8, "&lt;&gt;", M8:V8))</f>
        <v>8</v>
      </c>
    </row>
    <row r="9" spans="1:24" x14ac:dyDescent="0.15">
      <c r="A9" s="37"/>
      <c r="B9" t="s">
        <v>284</v>
      </c>
      <c r="W9" t="str">
        <f t="shared" si="0"/>
        <v/>
      </c>
    </row>
    <row r="10" spans="1:24" s="63" customFormat="1" ht="56" x14ac:dyDescent="0.15">
      <c r="A10" s="89" t="s">
        <v>212</v>
      </c>
      <c r="C10" s="63">
        <v>2</v>
      </c>
      <c r="D10" s="63">
        <v>1</v>
      </c>
      <c r="I10" s="66" t="s">
        <v>285</v>
      </c>
      <c r="J10" s="66" t="s">
        <v>285</v>
      </c>
      <c r="K10" s="66" t="s">
        <v>286</v>
      </c>
      <c r="N10" s="63">
        <v>2</v>
      </c>
      <c r="W10" s="63">
        <f t="shared" ref="W10:W30" si="1">SUM(M10:T10)</f>
        <v>2</v>
      </c>
    </row>
    <row r="11" spans="1:24" x14ac:dyDescent="0.15">
      <c r="A11" s="37"/>
      <c r="B11" t="s">
        <v>287</v>
      </c>
      <c r="W11" t="str">
        <f t="shared" si="0"/>
        <v/>
      </c>
    </row>
    <row r="12" spans="1:24" x14ac:dyDescent="0.15">
      <c r="A12" s="37"/>
      <c r="B12" t="s">
        <v>288</v>
      </c>
      <c r="W12" t="str">
        <f t="shared" si="0"/>
        <v/>
      </c>
    </row>
    <row r="13" spans="1:24" s="63" customFormat="1" x14ac:dyDescent="0.15">
      <c r="A13" s="89" t="s">
        <v>225</v>
      </c>
      <c r="C13" s="63">
        <v>2</v>
      </c>
      <c r="D13" s="63">
        <v>4</v>
      </c>
      <c r="P13" s="63">
        <v>2</v>
      </c>
      <c r="W13" s="63">
        <f t="shared" si="1"/>
        <v>2</v>
      </c>
    </row>
    <row r="14" spans="1:24" x14ac:dyDescent="0.15">
      <c r="A14" s="37"/>
      <c r="B14" t="s">
        <v>289</v>
      </c>
    </row>
    <row r="15" spans="1:24" s="63" customFormat="1" x14ac:dyDescent="0.15">
      <c r="A15" s="89" t="s">
        <v>238</v>
      </c>
      <c r="D15" s="63">
        <v>6</v>
      </c>
      <c r="W15" s="63" t="str">
        <f t="shared" ref="W15" si="2">IF(SUMIF(M15:V15, "&lt;&gt;", M15:V15)=0, "", SUMIF(M15:V15, "&lt;&gt;", M15:V15))</f>
        <v/>
      </c>
    </row>
    <row r="16" spans="1:24" s="63" customFormat="1" ht="28" x14ac:dyDescent="0.15">
      <c r="A16" s="89" t="s">
        <v>200</v>
      </c>
      <c r="C16" s="63">
        <v>2</v>
      </c>
      <c r="D16" s="63">
        <v>1</v>
      </c>
      <c r="I16" s="65" t="s">
        <v>290</v>
      </c>
      <c r="K16" s="104" t="s">
        <v>291</v>
      </c>
      <c r="M16" s="63">
        <v>2</v>
      </c>
      <c r="W16" s="63">
        <f t="shared" si="1"/>
        <v>2</v>
      </c>
    </row>
    <row r="17" spans="1:23" ht="14" x14ac:dyDescent="0.15">
      <c r="A17" s="37"/>
      <c r="B17" s="56" t="s">
        <v>292</v>
      </c>
      <c r="W17" t="str">
        <f t="shared" ref="W17:W18" si="3">IF(SUMIF(M17:V17, "&lt;&gt;", M17:V17)=0, "", SUMIF(M17:V17, "&lt;&gt;", M17:V17))</f>
        <v/>
      </c>
    </row>
    <row r="18" spans="1:23" ht="14" x14ac:dyDescent="0.15">
      <c r="A18" s="37"/>
      <c r="B18" s="56" t="s">
        <v>293</v>
      </c>
      <c r="W18" t="str">
        <f t="shared" si="3"/>
        <v/>
      </c>
    </row>
    <row r="19" spans="1:23" s="63" customFormat="1" ht="28" x14ac:dyDescent="0.15">
      <c r="A19" s="89" t="s">
        <v>222</v>
      </c>
      <c r="C19" s="63">
        <v>4</v>
      </c>
      <c r="D19" s="63">
        <v>3</v>
      </c>
      <c r="I19" s="66" t="s">
        <v>290</v>
      </c>
      <c r="K19" s="104" t="s">
        <v>294</v>
      </c>
      <c r="O19" s="63">
        <v>2</v>
      </c>
      <c r="P19" s="63">
        <v>2</v>
      </c>
      <c r="W19" s="63">
        <f t="shared" si="1"/>
        <v>4</v>
      </c>
    </row>
    <row r="20" spans="1:23" s="63" customFormat="1" ht="28" x14ac:dyDescent="0.15">
      <c r="A20" s="90" t="s">
        <v>234</v>
      </c>
      <c r="C20" s="63">
        <v>4</v>
      </c>
      <c r="D20" s="63">
        <v>5</v>
      </c>
      <c r="I20" s="65"/>
      <c r="J20" s="66" t="s">
        <v>295</v>
      </c>
      <c r="K20" s="66"/>
      <c r="R20" s="63">
        <v>2</v>
      </c>
      <c r="S20" s="63">
        <v>2</v>
      </c>
      <c r="W20" s="63">
        <f t="shared" si="1"/>
        <v>4</v>
      </c>
    </row>
    <row r="21" spans="1:23" s="63" customFormat="1" ht="28" x14ac:dyDescent="0.15">
      <c r="A21" s="90" t="s">
        <v>296</v>
      </c>
      <c r="C21" s="63">
        <v>4</v>
      </c>
      <c r="D21" s="63">
        <v>5</v>
      </c>
      <c r="J21" s="66" t="s">
        <v>297</v>
      </c>
      <c r="K21" s="66"/>
      <c r="R21" s="63">
        <v>2</v>
      </c>
      <c r="S21" s="63">
        <v>2</v>
      </c>
      <c r="W21" s="63">
        <f t="shared" si="1"/>
        <v>4</v>
      </c>
    </row>
    <row r="22" spans="1:23" s="63" customFormat="1" x14ac:dyDescent="0.15">
      <c r="A22" s="90" t="s">
        <v>219</v>
      </c>
      <c r="C22" s="63">
        <v>2</v>
      </c>
      <c r="D22" s="63">
        <v>3</v>
      </c>
      <c r="O22" s="63">
        <v>2</v>
      </c>
      <c r="W22" s="63">
        <f t="shared" si="1"/>
        <v>2</v>
      </c>
    </row>
    <row r="23" spans="1:23" s="63" customFormat="1" x14ac:dyDescent="0.15">
      <c r="A23" s="90" t="s">
        <v>228</v>
      </c>
      <c r="C23" s="63">
        <v>2</v>
      </c>
      <c r="D23" s="63">
        <v>4</v>
      </c>
      <c r="Q23" s="63">
        <v>2</v>
      </c>
      <c r="W23" s="63">
        <f t="shared" si="1"/>
        <v>2</v>
      </c>
    </row>
    <row r="24" spans="1:23" s="63" customFormat="1" x14ac:dyDescent="0.15">
      <c r="A24" s="89" t="s">
        <v>231</v>
      </c>
      <c r="C24" s="63">
        <v>4</v>
      </c>
      <c r="D24" s="63">
        <v>4</v>
      </c>
      <c r="Q24" s="63">
        <v>2</v>
      </c>
      <c r="R24" s="63">
        <v>2</v>
      </c>
      <c r="W24" s="63">
        <f t="shared" si="1"/>
        <v>4</v>
      </c>
    </row>
    <row r="25" spans="1:23" x14ac:dyDescent="0.15">
      <c r="A25" s="37"/>
      <c r="B25" t="s">
        <v>298</v>
      </c>
      <c r="W25" t="str">
        <f t="shared" ref="W25" si="4">IF(SUMIF(M25:V25, "&lt;&gt;", M25:V25)=0, "", SUMIF(M25:V25, "&lt;&gt;", M25:V25))</f>
        <v/>
      </c>
    </row>
    <row r="26" spans="1:23" s="63" customFormat="1" x14ac:dyDescent="0.15">
      <c r="A26" s="89" t="s">
        <v>240</v>
      </c>
      <c r="D26" s="63">
        <v>6</v>
      </c>
      <c r="W26" s="63">
        <v>0</v>
      </c>
    </row>
    <row r="27" spans="1:23" s="63" customFormat="1" x14ac:dyDescent="0.15">
      <c r="A27" s="90" t="s">
        <v>299</v>
      </c>
      <c r="C27" s="63">
        <v>4</v>
      </c>
      <c r="D27" s="63">
        <v>2</v>
      </c>
      <c r="N27" s="63">
        <v>1</v>
      </c>
      <c r="O27" s="63">
        <v>1</v>
      </c>
      <c r="P27" s="63">
        <v>1</v>
      </c>
      <c r="Q27" s="63">
        <v>1</v>
      </c>
      <c r="W27" s="63">
        <f t="shared" si="1"/>
        <v>4</v>
      </c>
    </row>
    <row r="28" spans="1:23" s="63" customFormat="1" ht="28" x14ac:dyDescent="0.15">
      <c r="A28" s="89" t="s">
        <v>202</v>
      </c>
      <c r="B28" s="64" t="s">
        <v>300</v>
      </c>
      <c r="C28" s="63">
        <v>1</v>
      </c>
      <c r="D28" s="63">
        <v>1</v>
      </c>
      <c r="K28" s="104" t="s">
        <v>301</v>
      </c>
      <c r="M28" s="63">
        <v>1</v>
      </c>
      <c r="W28" s="63">
        <f t="shared" si="1"/>
        <v>1</v>
      </c>
    </row>
    <row r="29" spans="1:23" s="63" customFormat="1" ht="28" x14ac:dyDescent="0.15">
      <c r="A29" s="89" t="s">
        <v>205</v>
      </c>
      <c r="B29" s="63" t="s">
        <v>302</v>
      </c>
      <c r="C29" s="63">
        <v>2</v>
      </c>
      <c r="D29" s="63">
        <v>1</v>
      </c>
      <c r="K29" s="104" t="s">
        <v>303</v>
      </c>
      <c r="M29" s="63">
        <v>2</v>
      </c>
      <c r="W29" s="63">
        <f t="shared" si="1"/>
        <v>2</v>
      </c>
    </row>
    <row r="30" spans="1:23" s="63" customFormat="1" ht="28" x14ac:dyDescent="0.15">
      <c r="A30" s="91" t="s">
        <v>304</v>
      </c>
      <c r="B30" s="64" t="s">
        <v>305</v>
      </c>
      <c r="C30" s="63">
        <v>1</v>
      </c>
      <c r="D30" s="63">
        <v>1</v>
      </c>
      <c r="K30" s="104" t="s">
        <v>306</v>
      </c>
      <c r="M30" s="63">
        <v>1</v>
      </c>
      <c r="W30" s="63">
        <f t="shared" si="1"/>
        <v>1</v>
      </c>
    </row>
    <row r="31" spans="1:23" x14ac:dyDescent="0.15">
      <c r="A31" t="s">
        <v>307</v>
      </c>
      <c r="B31" t="s">
        <v>308</v>
      </c>
      <c r="C31">
        <v>4</v>
      </c>
      <c r="D31">
        <v>1</v>
      </c>
      <c r="N31">
        <v>2</v>
      </c>
      <c r="O31">
        <v>2</v>
      </c>
      <c r="W31" s="63">
        <f>SUM(M31:T31)</f>
        <v>4</v>
      </c>
    </row>
    <row r="35" spans="1:23" x14ac:dyDescent="0.15">
      <c r="B35" s="37" t="s">
        <v>309</v>
      </c>
      <c r="C35" s="37">
        <f>SUM(C4:C33)</f>
        <v>50</v>
      </c>
      <c r="M35" s="37">
        <f xml:space="preserve"> SUM(M4:M33)</f>
        <v>8</v>
      </c>
      <c r="N35" s="37">
        <f t="shared" ref="N35:T35" si="5" xml:space="preserve"> SUM(N4:N33)</f>
        <v>9</v>
      </c>
      <c r="O35" s="37">
        <f t="shared" si="5"/>
        <v>9</v>
      </c>
      <c r="P35" s="37">
        <f t="shared" si="5"/>
        <v>7</v>
      </c>
      <c r="Q35" s="37">
        <f t="shared" si="5"/>
        <v>7</v>
      </c>
      <c r="R35" s="37">
        <f t="shared" si="5"/>
        <v>6</v>
      </c>
      <c r="S35" s="37">
        <f t="shared" si="5"/>
        <v>4</v>
      </c>
      <c r="T35" s="37">
        <f t="shared" si="5"/>
        <v>0</v>
      </c>
      <c r="U35" s="37"/>
      <c r="V35" s="37"/>
      <c r="W35" s="37">
        <f>SUM(W4:W33)</f>
        <v>50</v>
      </c>
    </row>
    <row r="37" spans="1:23" x14ac:dyDescent="0.15">
      <c r="A37" s="67" t="s">
        <v>3</v>
      </c>
      <c r="B37" s="67" t="s">
        <v>0</v>
      </c>
    </row>
    <row r="38" spans="1:23" x14ac:dyDescent="0.15">
      <c r="A38">
        <v>1</v>
      </c>
      <c r="B38" t="s">
        <v>212</v>
      </c>
    </row>
    <row r="39" spans="1:23" x14ac:dyDescent="0.15">
      <c r="B39" t="s">
        <v>200</v>
      </c>
    </row>
    <row r="40" spans="1:23" x14ac:dyDescent="0.15">
      <c r="B40" t="s">
        <v>202</v>
      </c>
    </row>
    <row r="41" spans="1:23" x14ac:dyDescent="0.15">
      <c r="B41" t="s">
        <v>304</v>
      </c>
    </row>
    <row r="42" spans="1:23" x14ac:dyDescent="0.15">
      <c r="B42" t="s">
        <v>205</v>
      </c>
    </row>
    <row r="43" spans="1:23" x14ac:dyDescent="0.15">
      <c r="B43" t="s">
        <v>196</v>
      </c>
    </row>
    <row r="44" spans="1:23" x14ac:dyDescent="0.15">
      <c r="A44">
        <v>2</v>
      </c>
      <c r="B44" t="s">
        <v>216</v>
      </c>
    </row>
    <row r="45" spans="1:23" x14ac:dyDescent="0.15">
      <c r="B45" t="s">
        <v>299</v>
      </c>
    </row>
    <row r="46" spans="1:23" x14ac:dyDescent="0.15">
      <c r="A46">
        <v>3</v>
      </c>
      <c r="B46" t="s">
        <v>222</v>
      </c>
    </row>
    <row r="47" spans="1:23" x14ac:dyDescent="0.15">
      <c r="B47" t="s">
        <v>219</v>
      </c>
    </row>
    <row r="48" spans="1:23" x14ac:dyDescent="0.15">
      <c r="A48">
        <v>4</v>
      </c>
      <c r="B48" t="s">
        <v>231</v>
      </c>
    </row>
    <row r="49" spans="1:2" x14ac:dyDescent="0.15">
      <c r="B49" t="s">
        <v>228</v>
      </c>
    </row>
    <row r="50" spans="1:2" x14ac:dyDescent="0.15">
      <c r="B50" t="s">
        <v>225</v>
      </c>
    </row>
    <row r="51" spans="1:2" x14ac:dyDescent="0.15">
      <c r="A51">
        <v>5</v>
      </c>
      <c r="B51" t="s">
        <v>296</v>
      </c>
    </row>
    <row r="52" spans="1:2" x14ac:dyDescent="0.15">
      <c r="B52" t="s">
        <v>234</v>
      </c>
    </row>
    <row r="53" spans="1:2" x14ac:dyDescent="0.15">
      <c r="A53">
        <v>6</v>
      </c>
      <c r="B53" t="s">
        <v>238</v>
      </c>
    </row>
    <row r="54" spans="1:2" x14ac:dyDescent="0.15">
      <c r="B54" t="s">
        <v>240</v>
      </c>
    </row>
  </sheetData>
  <conditionalFormatting sqref="C35">
    <cfRule type="cellIs" dxfId="5" priority="2" operator="equal">
      <formula>$W$35</formula>
    </cfRule>
    <cfRule type="cellIs" dxfId="4" priority="3" operator="notEqual">
      <formula>$W$35</formula>
    </cfRule>
  </conditionalFormatting>
  <hyperlinks>
    <hyperlink ref="I19" r:id="rId2" xr:uid="{F00DADC5-6ABA-4AAB-9537-F1B7C7098B74}"/>
    <hyperlink ref="I16" r:id="rId3" xr:uid="{1AFD8744-140F-40C3-8E17-F9F4FF7E966D}"/>
    <hyperlink ref="I10" r:id="rId4" xr:uid="{70BA34E8-763B-4FC1-8DAF-448C307F0659}"/>
    <hyperlink ref="J10" r:id="rId5" xr:uid="{F81FC995-CB63-4029-B1B7-59B4FCB265A8}"/>
    <hyperlink ref="J20" r:id="rId6" xr:uid="{43B298AC-7C6C-468C-B554-E520E7629807}"/>
    <hyperlink ref="J21" r:id="rId7" xr:uid="{0121EDF3-F3CC-4531-9C95-99D7B64F0842}"/>
    <hyperlink ref="K28" r:id="rId8" xr:uid="{3355E073-A3BC-4E98-86FC-DE41AD7887B1}"/>
    <hyperlink ref="K29" r:id="rId9" xr:uid="{0CDFADAE-283F-40C9-A263-73A1D7CEE7E9}"/>
    <hyperlink ref="K4" r:id="rId10" xr:uid="{0C357CDA-F912-4D55-ACF7-1752E8922202}"/>
    <hyperlink ref="K8" r:id="rId11" xr:uid="{3B480AEE-445B-46C8-BA99-B751536A9761}"/>
    <hyperlink ref="K19" r:id="rId12" xr:uid="{E749BBAE-EEBE-48A4-A03C-624F6058D16A}"/>
    <hyperlink ref="K16" r:id="rId13" xr:uid="{09F0281E-CE89-4AC3-930F-7F6BDDEAA609}"/>
    <hyperlink ref="K30" r:id="rId14" xr:uid="{EF1BCF60-75A9-48A7-8C8C-9C956D9C7D57}"/>
    <hyperlink ref="K10" r:id="rId15" xr:uid="{0C9092BA-26B5-4484-8F23-357D27940ED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B853-12D9-4DC0-9AC8-E46102EDEFF7}">
  <dimension ref="A1:A2"/>
  <sheetViews>
    <sheetView workbookViewId="0">
      <selection activeCell="A2" sqref="A2"/>
    </sheetView>
  </sheetViews>
  <sheetFormatPr baseColWidth="10" defaultColWidth="8.83203125" defaultRowHeight="13" x14ac:dyDescent="0.15"/>
  <sheetData>
    <row r="1" spans="1:1" x14ac:dyDescent="0.15">
      <c r="A1" t="s">
        <v>310</v>
      </c>
    </row>
    <row r="2" spans="1:1" ht="16" x14ac:dyDescent="0.25">
      <c r="A2" s="57" t="s">
        <v>311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BD85-9F35-E447-A863-EAC710EECE50}">
  <dimension ref="A1:D7"/>
  <sheetViews>
    <sheetView zoomScale="134" workbookViewId="0">
      <selection activeCell="C3" sqref="C3"/>
    </sheetView>
  </sheetViews>
  <sheetFormatPr baseColWidth="10" defaultColWidth="11.5" defaultRowHeight="13" x14ac:dyDescent="0.15"/>
  <cols>
    <col min="1" max="1" width="27.5" customWidth="1"/>
    <col min="4" max="4" width="169.5" customWidth="1"/>
  </cols>
  <sheetData>
    <row r="1" spans="1:4" x14ac:dyDescent="0.15">
      <c r="A1" s="51" t="s">
        <v>312</v>
      </c>
      <c r="B1" s="51" t="s">
        <v>7</v>
      </c>
      <c r="C1" s="51" t="s">
        <v>6</v>
      </c>
      <c r="D1" s="51" t="s">
        <v>313</v>
      </c>
    </row>
    <row r="2" spans="1:4" x14ac:dyDescent="0.15">
      <c r="A2" s="55" t="s">
        <v>314</v>
      </c>
      <c r="B2" s="52" t="s">
        <v>315</v>
      </c>
      <c r="C2" s="52" t="s">
        <v>135</v>
      </c>
      <c r="D2" s="52"/>
    </row>
    <row r="3" spans="1:4" x14ac:dyDescent="0.15">
      <c r="A3" s="55" t="s">
        <v>316</v>
      </c>
      <c r="B3" s="52" t="s">
        <v>315</v>
      </c>
      <c r="C3" s="53" t="s">
        <v>160</v>
      </c>
    </row>
    <row r="4" spans="1:4" x14ac:dyDescent="0.15">
      <c r="A4" s="55" t="s">
        <v>317</v>
      </c>
      <c r="B4" s="52" t="s">
        <v>318</v>
      </c>
      <c r="C4" s="53" t="s">
        <v>160</v>
      </c>
    </row>
    <row r="5" spans="1:4" ht="56" x14ac:dyDescent="0.15">
      <c r="A5" s="55" t="s">
        <v>319</v>
      </c>
      <c r="B5" s="52" t="s">
        <v>320</v>
      </c>
      <c r="C5" s="53" t="s">
        <v>160</v>
      </c>
      <c r="D5" s="54" t="s">
        <v>321</v>
      </c>
    </row>
    <row r="6" spans="1:4" x14ac:dyDescent="0.15">
      <c r="A6" s="55" t="s">
        <v>322</v>
      </c>
      <c r="B6" s="52" t="s">
        <v>323</v>
      </c>
      <c r="C6" s="53" t="s">
        <v>160</v>
      </c>
    </row>
    <row r="7" spans="1:4" x14ac:dyDescent="0.15">
      <c r="A7" s="55" t="s">
        <v>324</v>
      </c>
      <c r="B7" s="52" t="s">
        <v>323</v>
      </c>
      <c r="C7" s="53" t="s">
        <v>160</v>
      </c>
    </row>
  </sheetData>
  <conditionalFormatting sqref="C2:C7">
    <cfRule type="containsText" dxfId="3" priority="1" operator="containsText" text="Complete">
      <formula>NOT(ISERROR(SEARCH("Complete",C2)))</formula>
    </cfRule>
    <cfRule type="containsText" dxfId="2" priority="2" operator="containsText" text="On Hold">
      <formula>NOT(ISERROR(SEARCH("On Hold",C2)))</formula>
    </cfRule>
    <cfRule type="containsText" dxfId="1" priority="3" operator="containsText" text="Not Started">
      <formula>NOT(ISERROR(SEARCH("Not Started",C2)))</formula>
    </cfRule>
    <cfRule type="containsText" dxfId="0" priority="4" operator="containsText" text="In Progress">
      <formula>NOT(ISERROR(SEARCH("In Progress",C2)))</formula>
    </cfRule>
  </conditionalFormatting>
  <dataValidations count="1">
    <dataValidation type="list" allowBlank="1" showInputMessage="1" showErrorMessage="1" sqref="C2:C7" xr:uid="{D469509B-6D44-E044-B558-930CA47CB969}">
      <formula1>"Not Started,In Progress,On Hold,Complete"</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8"/>
  <sheetViews>
    <sheetView zoomScale="166" workbookViewId="0">
      <pane ySplit="1" topLeftCell="A2" activePane="bottomLeft" state="frozen"/>
      <selection pane="bottomLeft" activeCell="C4" sqref="C4"/>
    </sheetView>
  </sheetViews>
  <sheetFormatPr baseColWidth="10" defaultColWidth="12.6640625" defaultRowHeight="13" x14ac:dyDescent="0.15"/>
  <cols>
    <col min="1" max="1" width="21.1640625" customWidth="1"/>
    <col min="3" max="3" width="46.6640625" customWidth="1"/>
    <col min="6" max="6" width="57.33203125" customWidth="1"/>
  </cols>
  <sheetData>
    <row r="1" spans="1:6" ht="14" x14ac:dyDescent="0.15">
      <c r="A1" s="12" t="s">
        <v>325</v>
      </c>
      <c r="B1" s="12" t="s">
        <v>326</v>
      </c>
      <c r="C1" s="13" t="s">
        <v>327</v>
      </c>
      <c r="D1" s="13" t="s">
        <v>3</v>
      </c>
      <c r="E1" s="13" t="s">
        <v>328</v>
      </c>
      <c r="F1" s="13" t="s">
        <v>8</v>
      </c>
    </row>
    <row r="2" spans="1:6" ht="28" x14ac:dyDescent="0.15">
      <c r="A2" s="14" t="s">
        <v>329</v>
      </c>
      <c r="B2" s="15">
        <f t="shared" ref="B2:B18" si="0">ROW()-1</f>
        <v>1</v>
      </c>
      <c r="C2" s="16" t="s">
        <v>330</v>
      </c>
      <c r="D2" s="17"/>
      <c r="E2" s="17"/>
      <c r="F2" s="18" t="s">
        <v>331</v>
      </c>
    </row>
    <row r="3" spans="1:6" ht="14" x14ac:dyDescent="0.15">
      <c r="A3" s="19" t="s">
        <v>329</v>
      </c>
      <c r="B3" s="20">
        <f t="shared" si="0"/>
        <v>2</v>
      </c>
      <c r="C3" s="16" t="s">
        <v>332</v>
      </c>
      <c r="D3" s="21"/>
      <c r="E3" s="21"/>
      <c r="F3" s="22" t="s">
        <v>333</v>
      </c>
    </row>
    <row r="4" spans="1:6" ht="28" x14ac:dyDescent="0.15">
      <c r="A4" s="14" t="s">
        <v>329</v>
      </c>
      <c r="B4" s="15">
        <f t="shared" si="0"/>
        <v>3</v>
      </c>
      <c r="C4" s="16" t="s">
        <v>334</v>
      </c>
      <c r="D4" s="17"/>
      <c r="E4" s="17"/>
      <c r="F4" s="23"/>
    </row>
    <row r="5" spans="1:6" ht="56" x14ac:dyDescent="0.15">
      <c r="A5" s="19" t="s">
        <v>329</v>
      </c>
      <c r="B5" s="20">
        <f t="shared" si="0"/>
        <v>4</v>
      </c>
      <c r="C5" s="16" t="s">
        <v>335</v>
      </c>
      <c r="D5" s="21"/>
      <c r="E5" s="21"/>
      <c r="F5" s="22" t="s">
        <v>336</v>
      </c>
    </row>
    <row r="6" spans="1:6" ht="28" x14ac:dyDescent="0.15">
      <c r="A6" s="14" t="s">
        <v>329</v>
      </c>
      <c r="B6" s="15">
        <f t="shared" si="0"/>
        <v>5</v>
      </c>
      <c r="C6" s="16" t="s">
        <v>337</v>
      </c>
      <c r="D6" s="17"/>
      <c r="E6" s="17"/>
      <c r="F6" s="18" t="s">
        <v>338</v>
      </c>
    </row>
    <row r="7" spans="1:6" ht="42" x14ac:dyDescent="0.15">
      <c r="A7" s="19" t="s">
        <v>329</v>
      </c>
      <c r="B7" s="20">
        <f t="shared" si="0"/>
        <v>6</v>
      </c>
      <c r="C7" s="16" t="s">
        <v>339</v>
      </c>
      <c r="D7" s="21"/>
      <c r="E7" s="21"/>
      <c r="F7" s="22" t="s">
        <v>338</v>
      </c>
    </row>
    <row r="8" spans="1:6" ht="42" x14ac:dyDescent="0.15">
      <c r="A8" s="14" t="s">
        <v>329</v>
      </c>
      <c r="B8" s="15">
        <f t="shared" si="0"/>
        <v>7</v>
      </c>
      <c r="C8" s="16" t="s">
        <v>340</v>
      </c>
      <c r="D8" s="17"/>
      <c r="E8" s="17"/>
      <c r="F8" s="18" t="s">
        <v>341</v>
      </c>
    </row>
    <row r="9" spans="1:6" ht="14" x14ac:dyDescent="0.15">
      <c r="A9" s="19" t="s">
        <v>329</v>
      </c>
      <c r="B9" s="20">
        <f t="shared" si="0"/>
        <v>8</v>
      </c>
      <c r="C9" s="16" t="s">
        <v>342</v>
      </c>
      <c r="D9" s="21"/>
      <c r="E9" s="21"/>
      <c r="F9" s="24"/>
    </row>
    <row r="10" spans="1:6" ht="28" x14ac:dyDescent="0.15">
      <c r="A10" s="25" t="s">
        <v>343</v>
      </c>
      <c r="B10" s="15">
        <f t="shared" si="0"/>
        <v>9</v>
      </c>
      <c r="C10" s="16" t="s">
        <v>344</v>
      </c>
      <c r="D10" s="17"/>
      <c r="E10" s="17"/>
      <c r="F10" s="23"/>
    </row>
    <row r="11" spans="1:6" ht="28" x14ac:dyDescent="0.15">
      <c r="A11" s="26" t="s">
        <v>343</v>
      </c>
      <c r="B11" s="20">
        <f t="shared" si="0"/>
        <v>10</v>
      </c>
      <c r="C11" s="16" t="s">
        <v>345</v>
      </c>
      <c r="D11" s="21"/>
      <c r="E11" s="21"/>
      <c r="F11" s="22" t="s">
        <v>346</v>
      </c>
    </row>
    <row r="12" spans="1:6" ht="28" x14ac:dyDescent="0.15">
      <c r="A12" s="27" t="s">
        <v>347</v>
      </c>
      <c r="B12" s="15">
        <f t="shared" si="0"/>
        <v>11</v>
      </c>
      <c r="C12" s="16" t="s">
        <v>348</v>
      </c>
      <c r="D12" s="17"/>
      <c r="E12" s="17"/>
      <c r="F12" s="18" t="s">
        <v>349</v>
      </c>
    </row>
    <row r="13" spans="1:6" ht="98" x14ac:dyDescent="0.15">
      <c r="A13" s="28" t="s">
        <v>347</v>
      </c>
      <c r="B13" s="20">
        <f t="shared" si="0"/>
        <v>12</v>
      </c>
      <c r="C13" s="16" t="s">
        <v>350</v>
      </c>
      <c r="D13" s="21"/>
      <c r="E13" s="21"/>
      <c r="F13" s="24" t="s">
        <v>351</v>
      </c>
    </row>
    <row r="14" spans="1:6" ht="70" x14ac:dyDescent="0.15">
      <c r="A14" s="27" t="s">
        <v>347</v>
      </c>
      <c r="B14" s="15">
        <f t="shared" si="0"/>
        <v>13</v>
      </c>
      <c r="C14" s="16" t="s">
        <v>352</v>
      </c>
      <c r="D14" s="17"/>
      <c r="E14" s="17"/>
      <c r="F14" s="29" t="s">
        <v>353</v>
      </c>
    </row>
    <row r="15" spans="1:6" ht="42" x14ac:dyDescent="0.15">
      <c r="A15" s="28" t="s">
        <v>347</v>
      </c>
      <c r="B15" s="20">
        <f t="shared" si="0"/>
        <v>14</v>
      </c>
      <c r="C15" s="16" t="s">
        <v>354</v>
      </c>
      <c r="D15" s="21"/>
      <c r="E15" s="21"/>
      <c r="F15" s="24" t="s">
        <v>355</v>
      </c>
    </row>
    <row r="16" spans="1:6" ht="28" x14ac:dyDescent="0.15">
      <c r="A16" s="27" t="s">
        <v>347</v>
      </c>
      <c r="B16" s="15">
        <f t="shared" si="0"/>
        <v>15</v>
      </c>
      <c r="C16" s="16" t="s">
        <v>356</v>
      </c>
      <c r="D16" s="17"/>
      <c r="E16" s="17"/>
      <c r="F16" s="23" t="s">
        <v>357</v>
      </c>
    </row>
    <row r="17" spans="1:6" ht="28" x14ac:dyDescent="0.15">
      <c r="A17" s="30" t="s">
        <v>358</v>
      </c>
      <c r="B17" s="20">
        <f t="shared" si="0"/>
        <v>16</v>
      </c>
      <c r="C17" s="16" t="s">
        <v>359</v>
      </c>
      <c r="D17" s="21"/>
      <c r="E17" s="21"/>
      <c r="F17" s="22" t="s">
        <v>360</v>
      </c>
    </row>
    <row r="18" spans="1:6" ht="28" x14ac:dyDescent="0.15">
      <c r="A18" s="31" t="s">
        <v>358</v>
      </c>
      <c r="B18" s="32">
        <f t="shared" si="0"/>
        <v>17</v>
      </c>
      <c r="C18" s="33" t="s">
        <v>361</v>
      </c>
      <c r="D18" s="34"/>
      <c r="E18" s="34"/>
      <c r="F18" s="35" t="s">
        <v>362</v>
      </c>
    </row>
  </sheetData>
  <dataValidations count="3">
    <dataValidation type="list" allowBlank="1" sqref="D2:D18" xr:uid="{00000000-0002-0000-0100-000000000000}">
      <formula1>"p0,p1,p2,wont do"</formula1>
    </dataValidation>
    <dataValidation type="list" allowBlank="1" showErrorMessage="1" sqref="A2:A18" xr:uid="{00000000-0002-0000-0100-000001000000}">
      <formula1>"API Parity,NVIDIA NIM Support,Fine-Tuning,Misc"</formula1>
    </dataValidation>
    <dataValidation type="custom" allowBlank="1" showDropDown="1" sqref="B2:B18" xr:uid="{00000000-0002-0000-0100-000002000000}">
      <formula1>AND(ISNUMBER(B2),(NOT(OR(NOT(ISERROR(DATEVALUE(B2))), AND(ISNUMBER(B2), LEFT(CELL("format", B2))="D")))))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371B-287D-B749-AE91-AA68A449D935}">
  <dimension ref="A1:A4"/>
  <sheetViews>
    <sheetView workbookViewId="0">
      <selection activeCell="H39" sqref="H39"/>
    </sheetView>
  </sheetViews>
  <sheetFormatPr baseColWidth="10" defaultColWidth="11.5" defaultRowHeight="13" x14ac:dyDescent="0.15"/>
  <cols>
    <col min="1" max="1" width="22" bestFit="1" customWidth="1"/>
  </cols>
  <sheetData>
    <row r="1" spans="1:1" x14ac:dyDescent="0.15">
      <c r="A1" s="37" t="s">
        <v>363</v>
      </c>
    </row>
    <row r="2" spans="1:1" x14ac:dyDescent="0.15">
      <c r="A2" s="36" t="s">
        <v>364</v>
      </c>
    </row>
    <row r="3" spans="1:1" x14ac:dyDescent="0.15">
      <c r="A3" s="36" t="s">
        <v>365</v>
      </c>
    </row>
    <row r="4" spans="1:1" x14ac:dyDescent="0.15">
      <c r="A4" s="36"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3467E54C777D4FB8E24D4FE3B22C26" ma:contentTypeVersion="5" ma:contentTypeDescription="Create a new document." ma:contentTypeScope="" ma:versionID="83a202b24e1f19c92414da6932a4a65c">
  <xsd:schema xmlns:xsd="http://www.w3.org/2001/XMLSchema" xmlns:xs="http://www.w3.org/2001/XMLSchema" xmlns:p="http://schemas.microsoft.com/office/2006/metadata/properties" xmlns:ns1="http://schemas.microsoft.com/sharepoint/v3" xmlns:ns2="916f1ef7-6ad2-45d9-8dfb-43a7e76e0370" targetNamespace="http://schemas.microsoft.com/office/2006/metadata/properties" ma:root="true" ma:fieldsID="2c7aa3cd738317701b342150714d9fde" ns1:_="" ns2:_="">
    <xsd:import namespace="http://schemas.microsoft.com/sharepoint/v3"/>
    <xsd:import namespace="916f1ef7-6ad2-45d9-8dfb-43a7e76e03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6f1ef7-6ad2-45d9-8dfb-43a7e76e03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5B68B77-6E8E-4DB9-8970-506EB5B3B02E}">
  <ds:schemaRefs>
    <ds:schemaRef ds:uri="http://schemas.microsoft.com/sharepoint/v3/contenttype/forms"/>
  </ds:schemaRefs>
</ds:datastoreItem>
</file>

<file path=customXml/itemProps2.xml><?xml version="1.0" encoding="utf-8"?>
<ds:datastoreItem xmlns:ds="http://schemas.openxmlformats.org/officeDocument/2006/customXml" ds:itemID="{AC5001CC-EFE0-4EED-9A90-DDA2BB9488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16f1ef7-6ad2-45d9-8dfb-43a7e76e03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A80426-4AA0-416C-A7C6-7B08F8033325}">
  <ds:schemaRefs>
    <ds:schemaRef ds:uri="http://purl.org/dc/dcmitype/"/>
    <ds:schemaRef ds:uri="http://schemas.openxmlformats.org/package/2006/metadata/core-properties"/>
    <ds:schemaRef ds:uri="http://schemas.microsoft.com/office/2006/metadata/properties"/>
    <ds:schemaRef ds:uri="http://purl.org/dc/terms/"/>
    <ds:schemaRef ds:uri="http://schemas.microsoft.com/sharepoint/v3"/>
    <ds:schemaRef ds:uri="http://www.w3.org/XML/1998/namespace"/>
    <ds:schemaRef ds:uri="http://schemas.microsoft.com/office/2006/documentManagement/types"/>
    <ds:schemaRef ds:uri="http://purl.org/dc/elements/1.1/"/>
    <ds:schemaRef ds:uri="http://schemas.microsoft.com/office/infopath/2007/PartnerControls"/>
    <ds:schemaRef ds:uri="916f1ef7-6ad2-45d9-8dfb-43a7e76e0370"/>
  </ds:schemaRefs>
</ds:datastoreItem>
</file>

<file path=docMetadata/LabelInfo.xml><?xml version="1.0" encoding="utf-8"?>
<clbl:labelList xmlns:clbl="http://schemas.microsoft.com/office/2020/mipLabelMetadata">
  <clbl:label id="{e7f09a8f-df31-4464-b100-d09a5dbff5c8}" enabled="1" method="Standard" siteId="{570057f4-73ef-41c8-bcbb-08db2fc15c2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Uniphore Phase 1</vt:lpstr>
      <vt:lpstr>RACKAI - 2026 Roadmap</vt:lpstr>
      <vt:lpstr>RackAI M2</vt:lpstr>
      <vt:lpstr>Future ideas  requirements</vt:lpstr>
      <vt:lpstr>Action Tracker</vt:lpstr>
      <vt:lpstr>Questions to Uniphore</vt:lpstr>
      <vt:lpstr>Questions to RXT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Jovan Rajapakse</cp:lastModifiedBy>
  <cp:revision/>
  <dcterms:created xsi:type="dcterms:W3CDTF">2026-03-20T18:40:35Z</dcterms:created>
  <dcterms:modified xsi:type="dcterms:W3CDTF">2026-09-17T21:35:48Z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0x010100093467E54C777D4FB8E24D4FE3B22C26</vt:lpwstr>
  </property>
  <property fmtid="{D5CDD505-2E9C-101B-9397-08002B2CF9AE}" pid="3" name="MediaServiceImageTags">
    <vt:lpwstr/>
  </property>
</Properties>
</file>